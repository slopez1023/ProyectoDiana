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autoCompressPictures="0" defaultThemeVersion="124226"/>
  <mc:AlternateContent xmlns:mc="http://schemas.openxmlformats.org/markup-compatibility/2006">
    <mc:Choice Requires="x15">
      <x15ac:absPath xmlns:x15ac="http://schemas.microsoft.com/office/spreadsheetml/2010/11/ac" url="https://javerianacaliedu-my.sharepoint.com/personal/juan23_javerianacali_edu_co/Documents/Observatorio Económico y  Social/2022/Indicadores sectoriales/"/>
    </mc:Choice>
  </mc:AlternateContent>
  <xr:revisionPtr revIDLastSave="373" documentId="13_ncr:1_{8AD51EB9-CF01-4BA5-AF3D-C9D0072D6968}" xr6:coauthVersionLast="47" xr6:coauthVersionMax="47" xr10:uidLastSave="{4153BD0E-74AC-4A4B-944E-545C77C83FF3}"/>
  <bookViews>
    <workbookView xWindow="-120" yWindow="-120" windowWidth="20730" windowHeight="11040" tabRatio="798" activeTab="3" xr2:uid="{00000000-000D-0000-FFFF-FFFF00000000}"/>
  </bookViews>
  <sheets>
    <sheet name="TIC" sheetId="13" r:id="rId1"/>
    <sheet name="Institucional" sheetId="18" r:id="rId2"/>
    <sheet name="Justicia" sheetId="21" r:id="rId3"/>
    <sheet name="Agro" sheetId="15" r:id="rId4"/>
    <sheet name="Otros Servicios" sheetId="9" r:id="rId5"/>
    <sheet name="Educación" sheetId="24" r:id="rId6"/>
    <sheet name="Vivienda" sheetId="10" r:id="rId7"/>
    <sheet name="Agua" sheetId="6" r:id="rId8"/>
    <sheet name="Ambiente" sheetId="14" r:id="rId9"/>
    <sheet name="Salud" sheetId="4" r:id="rId10"/>
    <sheet name="Equipamiento" sheetId="12" r:id="rId11"/>
    <sheet name="Deporte" sheetId="8" r:id="rId12"/>
    <sheet name="Comunitario" sheetId="22" r:id="rId13"/>
    <sheet name="Transporte" sheetId="11" r:id="rId14"/>
    <sheet name="Hoja1" sheetId="25" state="hidden" r:id="rId15"/>
    <sheet name="Cultura" sheetId="7" r:id="rId16"/>
    <sheet name="G Vulnerables" sheetId="23" r:id="rId17"/>
  </sheets>
  <definedNames>
    <definedName name="_ftn1" localSheetId="12">Comunitario!#REF!</definedName>
    <definedName name="_ftn1" localSheetId="16">'G Vulnerables'!#REF!</definedName>
    <definedName name="_ftn1" localSheetId="2">Justicia!#REF!</definedName>
    <definedName name="_ftn2" localSheetId="12">Comunitario!#REF!</definedName>
    <definedName name="_ftn2" localSheetId="16">'G Vulnerables'!#REF!</definedName>
    <definedName name="_ftn2" localSheetId="2">Justicia!#REF!</definedName>
    <definedName name="_ftnref1" localSheetId="12">Comunitario!#REF!</definedName>
    <definedName name="_ftnref1" localSheetId="16">'G Vulnerables'!#REF!</definedName>
    <definedName name="_ftnref1" localSheetId="2">Justicia!#REF!</definedName>
    <definedName name="_ftnref2" localSheetId="12">Comunitario!#REF!</definedName>
    <definedName name="_ftnref2" localSheetId="16">'G Vulnerables'!#REF!</definedName>
    <definedName name="_ftnref2" localSheetId="2">Justicia!#REF!</definedName>
    <definedName name="_xlnm.Print_Area" localSheetId="3">Agro!$A$1:$S$10</definedName>
    <definedName name="_xlnm.Print_Area" localSheetId="7">Agua!$A$1:$R$16</definedName>
    <definedName name="_xlnm.Print_Area" localSheetId="8">Ambiente!$A$1:$O$16</definedName>
    <definedName name="_xlnm.Print_Area" localSheetId="12">Comunitario!$A$1:$I$10</definedName>
    <definedName name="_xlnm.Print_Area" localSheetId="15">Cultura!$A$1:$R$8</definedName>
    <definedName name="_xlnm.Print_Area" localSheetId="11">Deporte!$A$1:$R$11</definedName>
    <definedName name="_xlnm.Print_Area" localSheetId="10">Equipamiento!$A$1:$R$6</definedName>
    <definedName name="_xlnm.Print_Area" localSheetId="16">'G Vulnerables'!$A$1:$N$29</definedName>
    <definedName name="_xlnm.Print_Area" localSheetId="1">Institucional!$A$1:$R$16</definedName>
    <definedName name="_xlnm.Print_Area" localSheetId="2">Justicia!$A$1:$R$12</definedName>
    <definedName name="_xlnm.Print_Area" localSheetId="4">'Otros Servicios'!$A$1:$Q$6</definedName>
    <definedName name="_xlnm.Print_Area" localSheetId="9">Salud!$A$1:$R$33</definedName>
    <definedName name="_xlnm.Print_Area" localSheetId="0">TIC!$A$1:$R$9</definedName>
    <definedName name="_xlnm.Print_Area" localSheetId="13">Transporte!$A$1:$R$9</definedName>
    <definedName name="_xlnm.Print_Area" localSheetId="6">Vivienda!$A$1:$H$14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 i="14" l="1"/>
  <c r="S5" i="8"/>
  <c r="O6" i="14" l="1"/>
  <c r="H20" i="23"/>
  <c r="H19" i="23"/>
  <c r="I20" i="23"/>
  <c r="I19" i="23"/>
  <c r="J20" i="23"/>
  <c r="J19" i="23"/>
  <c r="K19" i="23"/>
  <c r="K20" i="23"/>
  <c r="K15" i="23"/>
  <c r="I15" i="23"/>
  <c r="J15" i="23"/>
  <c r="H15" i="23"/>
  <c r="K14" i="23"/>
  <c r="J14" i="23"/>
  <c r="I14" i="23"/>
  <c r="H14" i="23"/>
  <c r="H10" i="23"/>
  <c r="I10" i="23"/>
  <c r="J10" i="23"/>
  <c r="K10" i="23"/>
  <c r="H7" i="23"/>
  <c r="I7" i="23"/>
  <c r="J7" i="23"/>
  <c r="K7" i="23"/>
  <c r="L5" i="12" l="1"/>
  <c r="M5" i="12"/>
  <c r="N5" i="12"/>
  <c r="O5" i="12"/>
  <c r="P5" i="12"/>
  <c r="Q5" i="12"/>
  <c r="R5" i="12"/>
  <c r="R7" i="7"/>
  <c r="R6" i="7"/>
  <c r="R5" i="7"/>
  <c r="Q8" i="7" l="1"/>
  <c r="R8" i="7"/>
  <c r="O8" i="7"/>
  <c r="K8" i="7"/>
  <c r="O7" i="8"/>
  <c r="O9" i="8"/>
  <c r="P9" i="8"/>
  <c r="R5" i="8"/>
  <c r="P6" i="14"/>
  <c r="R6" i="14"/>
  <c r="R25" i="4"/>
  <c r="N25" i="4"/>
  <c r="Q24" i="4"/>
  <c r="P24" i="4"/>
  <c r="N24" i="4"/>
  <c r="K24" i="4"/>
  <c r="H24" i="4"/>
  <c r="R23" i="4"/>
  <c r="Q23" i="4"/>
  <c r="L23" i="4"/>
  <c r="I5" i="21"/>
  <c r="R26" i="4"/>
  <c r="Q26" i="4"/>
  <c r="P26" i="4"/>
  <c r="N26" i="4"/>
  <c r="K26" i="4"/>
  <c r="H26" i="4"/>
  <c r="K5" i="4"/>
  <c r="J5" i="4"/>
  <c r="I5" i="4"/>
  <c r="N9" i="8" l="1"/>
  <c r="O24" i="24" l="1"/>
  <c r="Q15" i="14" l="1"/>
  <c r="P15" i="14"/>
  <c r="Q6" i="14"/>
  <c r="O5" i="14"/>
  <c r="P5" i="14"/>
  <c r="J9" i="8"/>
  <c r="O8" i="24" l="1"/>
  <c r="L8" i="24"/>
  <c r="K8" i="24"/>
  <c r="J8" i="24"/>
  <c r="I8" i="24"/>
  <c r="L7" i="24"/>
  <c r="K7" i="24"/>
  <c r="J7" i="24"/>
  <c r="I7" i="24"/>
  <c r="L6" i="24"/>
  <c r="K6" i="24"/>
  <c r="J6" i="24"/>
  <c r="I6" i="24"/>
  <c r="L4" i="24"/>
  <c r="K4" i="24"/>
  <c r="J4" i="24"/>
  <c r="I4" i="24"/>
  <c r="M6" i="9"/>
  <c r="M5" i="9"/>
  <c r="N12" i="6"/>
  <c r="N8" i="6"/>
  <c r="I8" i="6"/>
  <c r="M6" i="6"/>
  <c r="N6" i="6"/>
  <c r="N15" i="14"/>
  <c r="N14" i="14"/>
  <c r="N6" i="14"/>
  <c r="N5" i="14"/>
  <c r="N7" i="13"/>
  <c r="K5" i="12"/>
  <c r="N7" i="8"/>
  <c r="N6" i="8"/>
  <c r="N5" i="8"/>
  <c r="N6" i="7"/>
  <c r="N8" i="7"/>
  <c r="N7" i="7"/>
  <c r="N5" i="7"/>
  <c r="K14" i="18"/>
  <c r="K13" i="18"/>
  <c r="K9" i="18"/>
  <c r="K5" i="21"/>
  <c r="K15" i="14"/>
  <c r="K14" i="14"/>
  <c r="K7" i="13"/>
  <c r="J6" i="9"/>
  <c r="J5" i="9"/>
  <c r="K9" i="8"/>
  <c r="K7" i="8"/>
  <c r="K6" i="8"/>
  <c r="K5" i="8"/>
  <c r="K7" i="7"/>
  <c r="K6" i="7"/>
  <c r="K12" i="6"/>
  <c r="K8" i="6"/>
  <c r="K6" i="6"/>
  <c r="J14" i="18"/>
  <c r="I14" i="18"/>
  <c r="J13" i="18"/>
  <c r="I13" i="18"/>
  <c r="J9" i="18"/>
  <c r="I9" i="18"/>
  <c r="J5" i="21"/>
  <c r="J7" i="15"/>
  <c r="I7" i="15"/>
  <c r="H7" i="15"/>
  <c r="J6" i="15"/>
  <c r="I6" i="15"/>
  <c r="H6" i="15"/>
  <c r="J15" i="14"/>
  <c r="I14" i="14"/>
  <c r="J14" i="14"/>
  <c r="H14" i="14"/>
  <c r="J6" i="14"/>
  <c r="I6" i="14"/>
  <c r="J7" i="13"/>
  <c r="I7" i="13"/>
  <c r="H7" i="13"/>
  <c r="I6" i="9"/>
  <c r="H6" i="9"/>
  <c r="H5" i="9"/>
  <c r="I5" i="9"/>
  <c r="I9" i="8"/>
  <c r="I7" i="8"/>
  <c r="J7" i="8"/>
  <c r="H7" i="8"/>
  <c r="I6" i="8"/>
  <c r="J6" i="8"/>
  <c r="H6" i="8"/>
  <c r="J8" i="7"/>
  <c r="I8" i="7"/>
  <c r="J7" i="7"/>
  <c r="I7" i="7"/>
  <c r="H7" i="7"/>
  <c r="J6" i="7"/>
  <c r="I6" i="7"/>
  <c r="H6" i="7"/>
  <c r="J12" i="6"/>
  <c r="I12" i="6"/>
  <c r="J8" i="6"/>
  <c r="H8" i="6"/>
  <c r="J6" i="6"/>
  <c r="I6" i="6"/>
  <c r="H6" i="6"/>
</calcChain>
</file>

<file path=xl/sharedStrings.xml><?xml version="1.0" encoding="utf-8"?>
<sst xmlns="http://schemas.openxmlformats.org/spreadsheetml/2006/main" count="841" uniqueCount="453">
  <si>
    <r>
      <t xml:space="preserve">No de población total en subnutrición </t>
    </r>
    <r>
      <rPr>
        <b/>
        <sz val="10"/>
        <color indexed="8"/>
        <rFont val="Times New Roman"/>
        <family val="1"/>
      </rPr>
      <t>/</t>
    </r>
    <r>
      <rPr>
        <sz val="10"/>
        <color indexed="8"/>
        <rFont val="Times New Roman"/>
        <family val="1"/>
      </rPr>
      <t xml:space="preserve"> total de población </t>
    </r>
  </si>
  <si>
    <r>
      <t xml:space="preserve">No de niños con bajo peso al nacer </t>
    </r>
    <r>
      <rPr>
        <b/>
        <sz val="10"/>
        <color indexed="8"/>
        <rFont val="Times New Roman"/>
        <family val="1"/>
      </rPr>
      <t xml:space="preserve">/ </t>
    </r>
    <r>
      <rPr>
        <sz val="10"/>
        <color indexed="8"/>
        <rFont val="Times New Roman"/>
        <family val="1"/>
      </rPr>
      <t>total de niños nacidos</t>
    </r>
  </si>
  <si>
    <t>No. De días</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</si>
  <si>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</si>
  <si>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</si>
  <si>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</si>
  <si>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</si>
  <si>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</si>
  <si>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</si>
  <si>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</si>
  <si>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</si>
  <si>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</si>
  <si>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</si>
  <si>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</si>
  <si>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</si>
  <si>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</si>
  <si>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</si>
  <si>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</si>
  <si>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</si>
  <si>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</si>
  <si>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</si>
  <si>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</si>
  <si>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</si>
  <si>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</si>
  <si>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</si>
  <si>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</si>
  <si>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</si>
  <si>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</si>
  <si>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</si>
  <si>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</si>
  <si>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Cobertura de vacunación con DPT en menores de 1 año</t>
  </si>
  <si>
    <t>Cobertura de vacunación con Triple Viral en niños de 1 año</t>
  </si>
  <si>
    <t>Personas que utilizan las bibliotecas públicas de la comunidad escolar y la ciudadanía</t>
  </si>
  <si>
    <t>Personas que asisten a escuelas de formación musical y artista</t>
  </si>
  <si>
    <t>Número de bienes de interés cultural restaurados</t>
  </si>
  <si>
    <t>Número de personas que  practican alguna actividad deportiva (recreativa o aficionada)</t>
  </si>
  <si>
    <t>Número de instituciones educativas que participan en actividades deportivas</t>
  </si>
  <si>
    <t>Número de centros  educativos vinculados  al Sistema Nacional de Competencias Deportivas y Académicas (Supérate)</t>
  </si>
  <si>
    <t>Número de deportistas que asisten a juegos y competencias deportivas nacionales e internacionales</t>
  </si>
  <si>
    <t>01</t>
  </si>
  <si>
    <t>02</t>
  </si>
  <si>
    <t>03</t>
  </si>
  <si>
    <t>04</t>
  </si>
  <si>
    <t>05</t>
  </si>
  <si>
    <t>06</t>
  </si>
  <si>
    <t>Tasa de cobertura bruta en transición.</t>
  </si>
  <si>
    <t>Tasa de cobertura bruta en educación media.</t>
  </si>
  <si>
    <t>Tasa de analfabetismo</t>
  </si>
  <si>
    <t>Tasa de deserción escolar intra-anual</t>
  </si>
  <si>
    <t>Porcentaje de estudiantes de grado 11 con dominio de inglés a nivel B1 (preintermedio)</t>
  </si>
  <si>
    <t>Tasa de cobertura en educación superior</t>
  </si>
  <si>
    <t>Código Sector</t>
  </si>
  <si>
    <t>Sector</t>
  </si>
  <si>
    <t>Educación</t>
  </si>
  <si>
    <t>Reducir la tasa de analfabetismo  (personas de 15 a 24 años)</t>
  </si>
  <si>
    <t>Disminuir la tasa de deserción escolar</t>
  </si>
  <si>
    <t>Mejorar la calidad educativa</t>
  </si>
  <si>
    <t xml:space="preserve">Fortalecimiento del desarrollo de las competencias  </t>
  </si>
  <si>
    <t>Salud</t>
  </si>
  <si>
    <t>Agua Potable y Saneamiento Básico</t>
  </si>
  <si>
    <t>Cultura</t>
  </si>
  <si>
    <t>Impulsar la lectura y la escritura y facilitar la circulación y acceso a la información y el conocimiento.</t>
  </si>
  <si>
    <t>Contribuir al desarrollo integral de los niños de 0 a 6 años promoviendo el ejercicio de los derechos culturales, a través de los lenguajes expresivos y estéticos</t>
  </si>
  <si>
    <t>Fomentar los procesos de formación artística y de creación cultural</t>
  </si>
  <si>
    <t>Fortalecer la apropiación social del Patrimonio Cultural</t>
  </si>
  <si>
    <t>Deporte y recreación</t>
  </si>
  <si>
    <t>Aumentar el porcentaje de personas que practican alguna actividad deportiva</t>
  </si>
  <si>
    <t>Incrementar la participación de jóvenes en actividades deportivas</t>
  </si>
  <si>
    <t>Aumentar la cobertura bruta en educación  básica (preescolar, básica primaria, básica secundaria)</t>
  </si>
  <si>
    <t>Universalización del aseguramiento.</t>
  </si>
  <si>
    <t>Porcentaje de población asegurada al SGSSS</t>
  </si>
  <si>
    <t>Alcanzar las metas de los Objetivos de Desarrollo del Milenio:
• Reducción de la desnutrición infantil.
• Reducir la mortalidad infantil  y en la niñez.
• Reducir la tasa de mortalidad materna.
• Lograr el acceso universal a la salud sexual y reproductiva.
• Reducir el VIH/SIDA, la malaria y otras enfermedades.</t>
  </si>
  <si>
    <t>Código Objetivo Resultado</t>
  </si>
  <si>
    <t xml:space="preserve">Objetivo de Resultado </t>
  </si>
  <si>
    <t>Código Indicador de Resultado</t>
  </si>
  <si>
    <t>Indicador de Resultado</t>
  </si>
  <si>
    <t xml:space="preserve">Número de viviendas  VIP terminadas </t>
  </si>
  <si>
    <t xml:space="preserve">Numero de viviendas mejoradas </t>
  </si>
  <si>
    <t xml:space="preserve">Incrementar la  oferta de vivienda nueva  en la entidad territorial durante el cuatrienio </t>
  </si>
  <si>
    <t>Reducir el déficit cualitativo de vivienda durante el cuatrienio</t>
  </si>
  <si>
    <t>Vivienda</t>
  </si>
  <si>
    <t>Infraestructura servicios públicos diferentes a acueducto y alcantarillado y aseo</t>
  </si>
  <si>
    <t>Aumentar la cobertura  del servicio de gas  natural  en la zona urbana</t>
  </si>
  <si>
    <t>Cobertura  total de gas natural en la zona urbana</t>
  </si>
  <si>
    <t>Aumentar la cobertura en servicio de energía eléctrica</t>
  </si>
  <si>
    <t xml:space="preserve">Cobertura en servicio de energía eléctrica </t>
  </si>
  <si>
    <t>Transporte</t>
  </si>
  <si>
    <t xml:space="preserve">Mejorar la accesibilidad del  transporte </t>
  </si>
  <si>
    <t>Estado de la infraestructura de transporte de la entidad territorial</t>
  </si>
  <si>
    <t>Mejorar la seguridad vial</t>
  </si>
  <si>
    <t>08</t>
  </si>
  <si>
    <t>Sector Equipamiento municipal</t>
  </si>
  <si>
    <t>Porcentaje de bienes inmuebles y muebles en buenas condiciones</t>
  </si>
  <si>
    <t>09</t>
  </si>
  <si>
    <t>Sector de Tecnologías de la información y las comunicaciones</t>
  </si>
  <si>
    <t>Dotar de infraestructura para incrementar el acceso a internet</t>
  </si>
  <si>
    <t>Proporción de poblados rurales de más 100 habitantes con sitio de acceso público a internet</t>
  </si>
  <si>
    <t>Inducir procesos de apropiación de TIC en los estudiantes y docentes de sedes educativas</t>
  </si>
  <si>
    <t>Porcentaje de establecimientos educativos oficiales con computadores</t>
  </si>
  <si>
    <t>Implementar la Estrategia de Gobierno en línea en la entidad territorial</t>
  </si>
  <si>
    <t>10</t>
  </si>
  <si>
    <t>Ambiente</t>
  </si>
  <si>
    <t>Implementar acciones para la recuperación y protección de áreas degradadas</t>
  </si>
  <si>
    <t>Hectáreas de ecosistemas para la regulación de la oferta hídrica conservadas</t>
  </si>
  <si>
    <t>Número de hectáreas de bosques reforestadas</t>
  </si>
  <si>
    <t xml:space="preserve">Aumentar el área de bosques reforestados  en cuencas abastecedoras de agua </t>
  </si>
  <si>
    <t>Número de estrategias formuladas para mantener los servicios ecosistémicos en el territorio</t>
  </si>
  <si>
    <t>Contribuir a la seguridad, el bienestar, la calidad de vida de las personas y al desarrollo sostenible a través del control y la reducción del riesgo de desastres</t>
  </si>
  <si>
    <t>Número de desastres declarados por año</t>
  </si>
  <si>
    <t>Número de personas muertas por desastres por año</t>
  </si>
  <si>
    <t>Número de personas afectadas por desastres por año</t>
  </si>
  <si>
    <t>Pérdidas en infraestructura básica</t>
  </si>
  <si>
    <t>Pérdidas en infraestructura de servicios</t>
  </si>
  <si>
    <t>Pérdidas en infraestructura de vivienda</t>
  </si>
  <si>
    <t>Proporción de vertimientos que incumplen con los estándares de disminución de la contaminación</t>
  </si>
  <si>
    <t>Sector Agropecuario</t>
  </si>
  <si>
    <t xml:space="preserve">Incrementar la competitividad de la producción agropecuaria </t>
  </si>
  <si>
    <t>Superficie agrícola sembrada</t>
  </si>
  <si>
    <t>Superficie agrícola sembrada de cultivos permanentes</t>
  </si>
  <si>
    <t>Toneladas de producción agropecuaria</t>
  </si>
  <si>
    <t>Justicia, seguridad y convivencia</t>
  </si>
  <si>
    <t>Proteger a los ciudadanos en su vida, integridad, libertad y patrimonio económico, por medio de la reducción y sanción del delito, el temor a la violencia y la promoción de la convivencia.</t>
  </si>
  <si>
    <t>Tasa de hurto común por cada 10.000 habitantes</t>
  </si>
  <si>
    <t xml:space="preserve">Promover la rendición de cuentas </t>
  </si>
  <si>
    <t>Proceso de rendición de cuentas realizado anualmente en la entidad territorial que cumpla con las etapas propuestas en el Conpes 3654 de 2010 “Informar, dialogar y retroalimentar”</t>
  </si>
  <si>
    <t>Grupos vulnerables</t>
  </si>
  <si>
    <t>Desarrollar el principio de corresponsabilidad en la protección integral de los derechos de los adolescentes que están en riesgo de incurrir en una conducta punible o han incurrido en esta</t>
  </si>
  <si>
    <t>Número de adolescentes en conflicto con la ley  (de 14 años hasta antes de cumplir los 18 años) que han sido atendidos  (se les ha brindado una oferta institucional)  de manera pertinente, estratégica y de acuerdo con la finalidad del Sistema de Responsabilidad Penal para Adolescentes</t>
  </si>
  <si>
    <t>Porcentaje de adolescentes en riesgo de incurrir en una conducta punible (delitos) que son vinculados a la oferta institucional, reduciendo vulnerabilidades, neutralizando riesgos y garantizando el ejercicio de sus derechos</t>
  </si>
  <si>
    <t>Garantizar el derecho de las mujeres a una vida libre de violencias</t>
  </si>
  <si>
    <t>Porcentaje de mujeres que han sido protegidas y atendidas integralmente ante hechos de violencia en su contra.</t>
  </si>
  <si>
    <t>Número de iniciativas para prevenir la violencia contra las mujeres</t>
  </si>
  <si>
    <t>Garantizar el goce efectivo de derechos de la población víctima del desplazamiento forzado por la violencia</t>
  </si>
  <si>
    <t>Porcentaje de hogares con niños incluidos en el RUPD con vacunas de DPT y Tripe viral</t>
  </si>
  <si>
    <t>Tasa de cobertura neta de educación en población desplazada por nivel educativo</t>
  </si>
  <si>
    <t>Proporción de hogares incluidos en el RUPD en los que sus miembros cuentan con todos los documentos de identificación que les corresponde, según edad y género</t>
  </si>
  <si>
    <t>Proporción de hogares que necesitaban y recibieron las tres componentes de ayuda inmediata (alojamiento, alimentación y salud en la emergencia)</t>
  </si>
  <si>
    <t>Proporción de hogares incluidos en el RUPD que posee al menos una fuente de ingresos autónoma y su ingreso supera como mínimo a línea de pobreza</t>
  </si>
  <si>
    <t>Total de hogares incluidos en el RUPD con habitación  legal del predio</t>
  </si>
  <si>
    <t>Total de organizaciones de población desplazada –OPD- que participan efectivamente en las decisiones de las política pública sobre desplazamiento forzado</t>
  </si>
  <si>
    <t>Sector de Fortalecimiento institucional</t>
  </si>
  <si>
    <t>Fortalecer una gestión pública orientada a resultados</t>
  </si>
  <si>
    <t>Definir e implementar la estructura administrativa apropiada a la entidad territorial</t>
  </si>
  <si>
    <t>Desarrollar programa de fortalecimiento de capacidades para la gestión de la entidad territorial</t>
  </si>
  <si>
    <t>Garantizar una estructura financiera sana y sostenible</t>
  </si>
  <si>
    <t>Realizar una actualización catastral urbana y rural</t>
  </si>
  <si>
    <t>Mejorar la focalización del gasto social</t>
  </si>
  <si>
    <t>Mejorar el desempeño fiscal</t>
  </si>
  <si>
    <t xml:space="preserve">Indicador de Desempeño Fiscal  </t>
  </si>
  <si>
    <t>Mejorar el índice de desempeño integral municipal</t>
  </si>
  <si>
    <t>Mejorar el control y la calidad de la entidad  territorial</t>
  </si>
  <si>
    <t>Porcentaje de avance de implementación/mantenimiento  del MECI</t>
  </si>
  <si>
    <t>Número de homicidios</t>
  </si>
  <si>
    <t>Número de casos de lesiones personales</t>
  </si>
  <si>
    <t>Porcentaje de organizaciones sociales que participan en programas de capacitación y/o asistencia técnica</t>
  </si>
  <si>
    <t>Razón de mortalidad materna (por 100.000 nacidos vivos)</t>
  </si>
  <si>
    <t>Porcentaje de atención institucional del parto.</t>
  </si>
  <si>
    <t>Porcentaje de atención institucional del parto por personal calificado.</t>
  </si>
  <si>
    <t>Tasa de mortalidad asociada a VIH/SIDA.</t>
  </si>
  <si>
    <t>Mortalidad por malaria.</t>
  </si>
  <si>
    <t>Mortalidad por dengue.</t>
  </si>
  <si>
    <t>Porcentaje de niños menores de 5 años con desnutrición global</t>
  </si>
  <si>
    <t>Cobertura de los servicios públicos</t>
  </si>
  <si>
    <t>Población sin Servicio de Acueducto Zona Urbana</t>
  </si>
  <si>
    <t>Población sin Servicio de Acueducto Zona Rural</t>
  </si>
  <si>
    <t>Población sin Servicio de Alcantarillado Zona Urbana</t>
  </si>
  <si>
    <t>Población sin Servicio de Alcantarillado Zona Rural</t>
  </si>
  <si>
    <t>Población sin Servicio de Aseo Zona Urbana</t>
  </si>
  <si>
    <t>Calidad del agua para consumo humano</t>
  </si>
  <si>
    <t>Índice de Riesgo de la Calidad del Agua para Consumo Humano, IRCA.</t>
  </si>
  <si>
    <t xml:space="preserve">Gestión ambiental en la prestación de los servicios de agua y saneamiento  </t>
  </si>
  <si>
    <t>Porcentaje de Aguas Residuales Tratadas</t>
  </si>
  <si>
    <t>Porcentaje de residuos sólidos generados, que son dispuestos de manera adecuada en rellenos sanitarios u otro sistema de tratamiento.</t>
  </si>
  <si>
    <t>Estado de la prestación de los servicios públicos.</t>
  </si>
  <si>
    <t>Población atendida con un prestador de servicios públicos de acueducto, alcantarillado y aseo registrado en el RUPS (Registro único de prestadores de servicios públicos de la SSPD)</t>
  </si>
  <si>
    <t>Promedios de horas de prestación de servicio diario de agua potable en área urbana</t>
  </si>
  <si>
    <t>Continuidad del servicio</t>
  </si>
  <si>
    <t>Provisión de vivienda por 1000 habitantes</t>
  </si>
  <si>
    <t>Suelo habilitado urbanizado para la construcción de vivienda (metros cuadrados)</t>
  </si>
  <si>
    <t>Suelo habilitado urbanizado para la construcción de vivienda VIS (metros cuadrados)</t>
  </si>
  <si>
    <t xml:space="preserve">Número de viviendas VIP iniciadas  </t>
  </si>
  <si>
    <t>Numero de creditos desembolsados para financiar vivienda</t>
  </si>
  <si>
    <t>Numero de viviendas ubicadas en zona de alto riesgo</t>
  </si>
  <si>
    <t>Numero de Has restauradas o rehabilitadas en cuencas abastecedoras de agua con fines de protección</t>
  </si>
  <si>
    <t>Porcentaje de población total en subnutrición</t>
  </si>
  <si>
    <t>Porcentaje de niños con bajo peso al nacer</t>
  </si>
  <si>
    <t>Porcentaje de hogares incluidos en el RUPD con deficit cuantitativo de vivienda</t>
  </si>
  <si>
    <t>Porcentaje de hogares incluidos en el RUPD con deficit cualitativo de vivienda</t>
  </si>
  <si>
    <t>Numero de niños y adolescententes que viven en familias con dificultades para cumplir su función protectora</t>
  </si>
  <si>
    <t>Prevalencia de desnutrición crónica o retraso en talla por grupos etarios</t>
  </si>
  <si>
    <t>Tiempo promedio en lactancia materna</t>
  </si>
  <si>
    <t>Asistencia a educación inicial (0 a 4 años)</t>
  </si>
  <si>
    <t>Numero de adultos mayores atendidos</t>
  </si>
  <si>
    <t>Formular el plan de acción para establecer medidas de atención, asistencia y reparación integral a las victimas del conflicto armado interno</t>
  </si>
  <si>
    <t>Plan de acción para establecer medidas de atención, asistencia y reparación integral a las victimas del conflicto armado interno</t>
  </si>
  <si>
    <t>Gestión Integral de residuos sólidos</t>
  </si>
  <si>
    <t>Fórmula o cálculo</t>
  </si>
  <si>
    <t>Desarrollo Comunitario</t>
  </si>
  <si>
    <t>07</t>
  </si>
  <si>
    <t>13</t>
  </si>
  <si>
    <t>15</t>
  </si>
  <si>
    <t xml:space="preserve">TABLERO DE INDICADORES DE EFICACIA  -SECTORES DE INVERSIÓN PLAN DE DESARROLLO </t>
  </si>
  <si>
    <r>
      <t xml:space="preserve">No. De estudiantes de 5 años </t>
    </r>
    <r>
      <rPr>
        <b/>
        <sz val="10"/>
        <color indexed="8"/>
        <rFont val="Times New Roman"/>
        <family val="1"/>
      </rPr>
      <t>/</t>
    </r>
    <r>
      <rPr>
        <sz val="10"/>
        <color indexed="8"/>
        <rFont val="Times New Roman"/>
        <family val="1"/>
      </rPr>
      <t xml:space="preserve"> No. Total de niños(as) de 5 años</t>
    </r>
  </si>
  <si>
    <r>
      <t xml:space="preserve">1) </t>
    </r>
    <r>
      <rPr>
        <sz val="10"/>
        <color indexed="8"/>
        <rFont val="Times New Roman"/>
        <family val="1"/>
      </rPr>
      <t>No. Estudiantes primaria</t>
    </r>
    <r>
      <rPr>
        <b/>
        <sz val="10"/>
        <color indexed="8"/>
        <rFont val="Times New Roman"/>
        <family val="1"/>
      </rPr>
      <t>/</t>
    </r>
    <r>
      <rPr>
        <sz val="10"/>
        <color indexed="8"/>
        <rFont val="Times New Roman"/>
        <family val="1"/>
      </rPr>
      <t xml:space="preserve"> No. total de niños de 6-10 años; </t>
    </r>
    <r>
      <rPr>
        <b/>
        <sz val="10"/>
        <color indexed="8"/>
        <rFont val="Times New Roman"/>
        <family val="1"/>
      </rPr>
      <t>2)</t>
    </r>
    <r>
      <rPr>
        <sz val="10"/>
        <color indexed="8"/>
        <rFont val="Times New Roman"/>
        <family val="1"/>
      </rPr>
      <t xml:space="preserve"> No. Estudiantes secundaria/ No. total de jóvenes de 11-14 años</t>
    </r>
  </si>
  <si>
    <r>
      <t xml:space="preserve">No. De estudiantes educación media </t>
    </r>
    <r>
      <rPr>
        <b/>
        <sz val="10"/>
        <color indexed="8"/>
        <rFont val="Times New Roman"/>
        <family val="1"/>
      </rPr>
      <t>/</t>
    </r>
    <r>
      <rPr>
        <sz val="10"/>
        <color indexed="8"/>
        <rFont val="Times New Roman"/>
        <family val="1"/>
      </rPr>
      <t xml:space="preserve"> No. Total de jóvenes de 15 a 16 años</t>
    </r>
  </si>
  <si>
    <r>
      <t>No. Estudiantes desertores</t>
    </r>
    <r>
      <rPr>
        <b/>
        <sz val="10"/>
        <color indexed="8"/>
        <rFont val="Times New Roman"/>
        <family val="1"/>
      </rPr>
      <t>/</t>
    </r>
    <r>
      <rPr>
        <sz val="10"/>
        <color indexed="8"/>
        <rFont val="Times New Roman"/>
        <family val="1"/>
      </rPr>
      <t xml:space="preserve"> No total de estudiantes</t>
    </r>
  </si>
  <si>
    <t>No estudiantes con dominio de inglés a nivel B1/ No total estudiantes grado 11</t>
  </si>
  <si>
    <r>
      <t xml:space="preserve">No estudiantes de educación superior de 17-25 años </t>
    </r>
    <r>
      <rPr>
        <b/>
        <sz val="10"/>
        <color indexed="8"/>
        <rFont val="Times New Roman"/>
        <family val="1"/>
      </rPr>
      <t>/</t>
    </r>
    <r>
      <rPr>
        <sz val="10"/>
        <color indexed="8"/>
        <rFont val="Times New Roman"/>
        <family val="1"/>
      </rPr>
      <t xml:space="preserve"> No total personas 17-25 años</t>
    </r>
  </si>
  <si>
    <r>
      <t>No estudiantes reprobados por nivel educativo</t>
    </r>
    <r>
      <rPr>
        <b/>
        <sz val="10"/>
        <color indexed="8"/>
        <rFont val="Times New Roman"/>
        <family val="1"/>
      </rPr>
      <t xml:space="preserve"> /</t>
    </r>
    <r>
      <rPr>
        <sz val="10"/>
        <color indexed="8"/>
        <rFont val="Times New Roman"/>
        <family val="1"/>
      </rPr>
      <t xml:space="preserve"> No. total estudiantes por nivel educativo</t>
    </r>
  </si>
  <si>
    <t>?</t>
  </si>
  <si>
    <r>
      <t xml:space="preserve">No de personas analfabetas (sin lectura y escritura) </t>
    </r>
    <r>
      <rPr>
        <b/>
        <sz val="10"/>
        <color indexed="8"/>
        <rFont val="Times New Roman"/>
        <family val="1"/>
      </rPr>
      <t>/</t>
    </r>
    <r>
      <rPr>
        <sz val="10"/>
        <color indexed="8"/>
        <rFont val="Times New Roman"/>
        <family val="1"/>
      </rPr>
      <t>No total de personas de 15-24 años</t>
    </r>
  </si>
  <si>
    <r>
      <t xml:space="preserve">No. Niños (as) asistiendo a educación inicial </t>
    </r>
    <r>
      <rPr>
        <b/>
        <sz val="10"/>
        <color indexed="8"/>
        <rFont val="Times New Roman"/>
        <family val="1"/>
      </rPr>
      <t>/</t>
    </r>
    <r>
      <rPr>
        <sz val="10"/>
        <color indexed="8"/>
        <rFont val="Times New Roman"/>
        <family val="1"/>
      </rPr>
      <t xml:space="preserve"> total de niños (as) de 0-4 años </t>
    </r>
  </si>
  <si>
    <t xml:space="preserve">TABLERO DE INDICADORES DE EFICACIA  -EDUCACIÓN </t>
  </si>
  <si>
    <r>
      <t>No. Niños (as) menores de 1 año vacunados con DPT</t>
    </r>
    <r>
      <rPr>
        <b/>
        <sz val="10"/>
        <color indexed="8"/>
        <rFont val="Times New Roman"/>
        <family val="1"/>
      </rPr>
      <t>/</t>
    </r>
    <r>
      <rPr>
        <sz val="10"/>
        <color indexed="8"/>
        <rFont val="Times New Roman"/>
        <family val="1"/>
      </rPr>
      <t>No. Total de niños menores de 1 año</t>
    </r>
  </si>
  <si>
    <r>
      <t>No. Niños (as) de 1 año vacunados con Triple Viral</t>
    </r>
    <r>
      <rPr>
        <b/>
        <sz val="10"/>
        <color indexed="8"/>
        <rFont val="Times New Roman"/>
        <family val="1"/>
      </rPr>
      <t>/</t>
    </r>
    <r>
      <rPr>
        <sz val="10"/>
        <color indexed="8"/>
        <rFont val="Times New Roman"/>
        <family val="1"/>
      </rPr>
      <t>No. Total de niños  de 1 año</t>
    </r>
  </si>
  <si>
    <r>
      <t xml:space="preserve">No partos atendidos por instituciones con personal calificado </t>
    </r>
    <r>
      <rPr>
        <b/>
        <sz val="10"/>
        <color indexed="8"/>
        <rFont val="Times New Roman"/>
        <family val="1"/>
      </rPr>
      <t>/</t>
    </r>
    <r>
      <rPr>
        <sz val="10"/>
        <color indexed="8"/>
        <rFont val="Times New Roman"/>
        <family val="1"/>
      </rPr>
      <t>No. Total partos con atención institucional</t>
    </r>
  </si>
  <si>
    <t>No.</t>
  </si>
  <si>
    <t xml:space="preserve">No de muertes asociada a VIH/SIDA./población total </t>
  </si>
  <si>
    <t>No. Niños (as)menores 5 años muertos por infección respiratoria aguda(IRA) /población menor  5 años</t>
  </si>
  <si>
    <r>
      <t>No. Niños (as) menores 5 años muertos por diarreica aguda (EDA)</t>
    </r>
    <r>
      <rPr>
        <b/>
        <sz val="10"/>
        <color indexed="8"/>
        <rFont val="Times New Roman"/>
        <family val="1"/>
      </rPr>
      <t>/</t>
    </r>
    <r>
      <rPr>
        <sz val="10"/>
        <color indexed="8"/>
        <rFont val="Times New Roman"/>
        <family val="1"/>
      </rPr>
      <t>población menor  5 años</t>
    </r>
  </si>
  <si>
    <t>No. Niños (as) menores de 5 años con desnutrición global/ población menor  5 años</t>
  </si>
  <si>
    <r>
      <t>No. Muertes por malaria</t>
    </r>
    <r>
      <rPr>
        <b/>
        <sz val="10"/>
        <color indexed="8"/>
        <rFont val="Times New Roman"/>
        <family val="1"/>
      </rPr>
      <t>/</t>
    </r>
    <r>
      <rPr>
        <sz val="10"/>
        <color indexed="8"/>
        <rFont val="Times New Roman"/>
        <family val="1"/>
      </rPr>
      <t xml:space="preserve">población total </t>
    </r>
  </si>
  <si>
    <r>
      <t>No. Muertes por dengue.</t>
    </r>
    <r>
      <rPr>
        <b/>
        <sz val="10"/>
        <color indexed="8"/>
        <rFont val="Times New Roman"/>
        <family val="1"/>
      </rPr>
      <t>/</t>
    </r>
    <r>
      <rPr>
        <sz val="10"/>
        <color indexed="8"/>
        <rFont val="Times New Roman"/>
        <family val="1"/>
      </rPr>
      <t xml:space="preserve">población total </t>
    </r>
  </si>
  <si>
    <t>No. Instituciones con atención del parto/No. instituciones de salud</t>
  </si>
  <si>
    <r>
      <t>Población sin Servicio de Acueducto Zona Urbana</t>
    </r>
    <r>
      <rPr>
        <b/>
        <sz val="10"/>
        <color indexed="8"/>
        <rFont val="Times New Roman"/>
        <family val="1"/>
      </rPr>
      <t>/</t>
    </r>
    <r>
      <rPr>
        <sz val="10"/>
        <color indexed="8"/>
        <rFont val="Times New Roman"/>
        <family val="1"/>
      </rPr>
      <t>Población total Zona Urbana</t>
    </r>
  </si>
  <si>
    <t>Población sin Servicio de Alcantarillado Zona Urbana/Población total Zona Urbana</t>
  </si>
  <si>
    <t>Población sin Servicio de Alcantarillado Zona Rural/Población total Zona Rural</t>
  </si>
  <si>
    <t>Población sin Servicio de de Aseo Zona Urbana/Población total Zona Urbana</t>
  </si>
  <si>
    <t>Toneladas de residuos sólidos generados, que son dispuestos de manera adecuada en rellenos sanitarios u otro sistema de tratamiento/ total de residuos sólidos generados</t>
  </si>
  <si>
    <t>Promedios de horas de prestación de servicio diario de agua potable en área rural</t>
  </si>
  <si>
    <r>
      <t>No Personas que utilizan las bibliotecas públicas de la comunidad escolar y la ciudadanía</t>
    </r>
    <r>
      <rPr>
        <b/>
        <sz val="10"/>
        <color indexed="8"/>
        <rFont val="Times New Roman"/>
        <family val="1"/>
      </rPr>
      <t>/</t>
    </r>
    <r>
      <rPr>
        <sz val="10"/>
        <color indexed="8"/>
        <rFont val="Times New Roman"/>
        <family val="1"/>
      </rPr>
      <t xml:space="preserve">Población total mayor de 5 años </t>
    </r>
  </si>
  <si>
    <r>
      <t>No niños y niñas menores de 6 años beneficiados de  programas que promueven los derechos culturales</t>
    </r>
    <r>
      <rPr>
        <b/>
        <sz val="10"/>
        <color indexed="8"/>
        <rFont val="Times New Roman"/>
        <family val="1"/>
      </rPr>
      <t>/</t>
    </r>
    <r>
      <rPr>
        <sz val="10"/>
        <color indexed="8"/>
        <rFont val="Times New Roman"/>
        <family val="1"/>
      </rPr>
      <t xml:space="preserve">Población total menor de 6 años </t>
    </r>
  </si>
  <si>
    <t xml:space="preserve">No.Personas que asisten a escuelas de formación musical y artista/Población total mayor de 5 años </t>
  </si>
  <si>
    <r>
      <t>Número de bienes de interés cultural restaurados</t>
    </r>
    <r>
      <rPr>
        <b/>
        <sz val="10"/>
        <color indexed="8"/>
        <rFont val="Times New Roman"/>
        <family val="1"/>
      </rPr>
      <t>/</t>
    </r>
    <r>
      <rPr>
        <sz val="10"/>
        <color indexed="8"/>
        <rFont val="Times New Roman"/>
        <family val="1"/>
      </rPr>
      <t>No. Total de bienes de interés cultural</t>
    </r>
  </si>
  <si>
    <r>
      <t>Número de personas que  practican alguna actividad deportiva (recreativa o aficionada)</t>
    </r>
    <r>
      <rPr>
        <b/>
        <sz val="10"/>
        <color indexed="8"/>
        <rFont val="Times New Roman"/>
        <family val="1"/>
      </rPr>
      <t>/</t>
    </r>
    <r>
      <rPr>
        <sz val="10"/>
        <color indexed="8"/>
        <rFont val="Times New Roman"/>
        <family val="1"/>
      </rPr>
      <t>población total Municipio</t>
    </r>
  </si>
  <si>
    <r>
      <t>Número de instituciones educativas que participan en actividades deportivas</t>
    </r>
    <r>
      <rPr>
        <b/>
        <sz val="10"/>
        <color indexed="8"/>
        <rFont val="Times New Roman"/>
        <family val="1"/>
      </rPr>
      <t>/</t>
    </r>
    <r>
      <rPr>
        <sz val="10"/>
        <color indexed="8"/>
        <rFont val="Times New Roman"/>
        <family val="1"/>
      </rPr>
      <t>total de instituciones educativas del Municipio</t>
    </r>
  </si>
  <si>
    <r>
      <t>Número de centros  educativos vinculados  al Sistema Nacional de Competencias Deportivas y Académicas (Supérate)</t>
    </r>
    <r>
      <rPr>
        <b/>
        <sz val="10"/>
        <color indexed="8"/>
        <rFont val="Times New Roman"/>
        <family val="1"/>
      </rPr>
      <t>/</t>
    </r>
    <r>
      <rPr>
        <sz val="10"/>
        <color indexed="8"/>
        <rFont val="Times New Roman"/>
        <family val="1"/>
      </rPr>
      <t>Total centros educativos Municipio</t>
    </r>
  </si>
  <si>
    <r>
      <t>Número de viviendas VIP iniciadas</t>
    </r>
    <r>
      <rPr>
        <b/>
        <sz val="10"/>
        <color indexed="8"/>
        <rFont val="Times New Roman"/>
        <family val="1"/>
      </rPr>
      <t>/</t>
    </r>
    <r>
      <rPr>
        <sz val="10"/>
        <color indexed="8"/>
        <rFont val="Times New Roman"/>
        <family val="1"/>
      </rPr>
      <t>Total viviendasMunicipio</t>
    </r>
  </si>
  <si>
    <r>
      <t xml:space="preserve">Número de viviendas VIP terminadas </t>
    </r>
    <r>
      <rPr>
        <sz val="10"/>
        <color indexed="8"/>
        <rFont val="Times New Roman"/>
        <family val="1"/>
      </rPr>
      <t>/</t>
    </r>
    <r>
      <rPr>
        <sz val="10"/>
        <color indexed="8"/>
        <rFont val="Times New Roman"/>
        <family val="1"/>
      </rPr>
      <t>Total viviendas Municipio</t>
    </r>
  </si>
  <si>
    <r>
      <t>metros cuadrados de Suelo habilitado urbanizado para la construcción de vivienda</t>
    </r>
    <r>
      <rPr>
        <b/>
        <sz val="10"/>
        <color indexed="8"/>
        <rFont val="Times New Roman"/>
        <family val="1"/>
      </rPr>
      <t>/</t>
    </r>
    <r>
      <rPr>
        <sz val="10"/>
        <color indexed="8"/>
        <rFont val="Times New Roman"/>
        <family val="1"/>
      </rPr>
      <t xml:space="preserve"> total M2 Suelo habilitado urbanizado</t>
    </r>
  </si>
  <si>
    <t>m2 Suelo habilitado urbanizado para la construcción de vivienda VIS / total M2 Suelo habilitado urbanizado para la construcción de vivienda</t>
  </si>
  <si>
    <r>
      <t>Numero de créditos desembolsados para financiar vivienda</t>
    </r>
    <r>
      <rPr>
        <b/>
        <sz val="10"/>
        <color indexed="8"/>
        <rFont val="Times New Roman"/>
        <family val="1"/>
      </rPr>
      <t>/</t>
    </r>
    <r>
      <rPr>
        <sz val="10"/>
        <color indexed="8"/>
        <rFont val="Times New Roman"/>
        <family val="1"/>
      </rPr>
      <t>Total de créditos desembolsados Municipio</t>
    </r>
  </si>
  <si>
    <r>
      <t>Numero de viviendas ubicadas en zona de alto riesgo</t>
    </r>
    <r>
      <rPr>
        <b/>
        <sz val="10"/>
        <color indexed="8"/>
        <rFont val="Times New Roman"/>
        <family val="1"/>
      </rPr>
      <t>/</t>
    </r>
    <r>
      <rPr>
        <sz val="10"/>
        <color indexed="8"/>
        <rFont val="Times New Roman"/>
        <family val="1"/>
      </rPr>
      <t>Total viviendas Municipio</t>
    </r>
  </si>
  <si>
    <r>
      <t>No. Inmuebles construídos con servicio de gas  natural</t>
    </r>
    <r>
      <rPr>
        <b/>
        <sz val="11"/>
        <color indexed="8"/>
        <rFont val="Calibri"/>
        <family val="2"/>
      </rPr>
      <t>/</t>
    </r>
    <r>
      <rPr>
        <sz val="11"/>
        <color theme="1"/>
        <rFont val="Calibri"/>
        <family val="2"/>
        <scheme val="minor"/>
      </rPr>
      <t xml:space="preserve"> Total inmuebles urbanos construídos</t>
    </r>
  </si>
  <si>
    <r>
      <t xml:space="preserve">No. Inmuebles construídos con servicio de energía eléctrica </t>
    </r>
    <r>
      <rPr>
        <b/>
        <sz val="11"/>
        <color indexed="8"/>
        <rFont val="Calibri"/>
        <family val="2"/>
      </rPr>
      <t>/</t>
    </r>
    <r>
      <rPr>
        <sz val="11"/>
        <color theme="1"/>
        <rFont val="Calibri"/>
        <family val="2"/>
        <scheme val="minor"/>
      </rPr>
      <t xml:space="preserve"> Total inmuebles construídos del Municipio</t>
    </r>
  </si>
  <si>
    <r>
      <t>1)</t>
    </r>
    <r>
      <rPr>
        <sz val="11"/>
        <color theme="1"/>
        <rFont val="Calibri"/>
        <family val="2"/>
        <scheme val="minor"/>
      </rPr>
      <t xml:space="preserve">No. bienes inmuebles en buenas condiciones </t>
    </r>
    <r>
      <rPr>
        <b/>
        <sz val="11"/>
        <color indexed="8"/>
        <rFont val="Calibri"/>
        <family val="2"/>
      </rPr>
      <t>/</t>
    </r>
    <r>
      <rPr>
        <sz val="11"/>
        <color theme="1"/>
        <rFont val="Calibri"/>
        <family val="2"/>
        <scheme val="minor"/>
      </rPr>
      <t xml:space="preserve"> total bienes inmuebles; </t>
    </r>
    <r>
      <rPr>
        <b/>
        <sz val="11"/>
        <color indexed="8"/>
        <rFont val="Calibri"/>
        <family val="2"/>
      </rPr>
      <t>2)</t>
    </r>
    <r>
      <rPr>
        <sz val="11"/>
        <color theme="1"/>
        <rFont val="Calibri"/>
        <family val="2"/>
        <scheme val="minor"/>
      </rPr>
      <t xml:space="preserve"> No. bienes muebles en buenas condiciones / total bienes muebles</t>
    </r>
  </si>
  <si>
    <r>
      <t>No. de poblados rurales de más 100 habitantes con sitio de acceso público a internet</t>
    </r>
    <r>
      <rPr>
        <b/>
        <sz val="11"/>
        <color indexed="8"/>
        <rFont val="Calibri"/>
        <family val="2"/>
      </rPr>
      <t xml:space="preserve"> / </t>
    </r>
    <r>
      <rPr>
        <sz val="11"/>
        <color indexed="8"/>
        <rFont val="Calibri"/>
        <family val="2"/>
      </rPr>
      <t>No.de poblados rurales de más 100 habitantes</t>
    </r>
  </si>
  <si>
    <r>
      <t xml:space="preserve">No.de establecimientos educativos oficiales con computadores </t>
    </r>
    <r>
      <rPr>
        <b/>
        <sz val="11"/>
        <color indexed="8"/>
        <rFont val="Calibri"/>
        <family val="2"/>
      </rPr>
      <t xml:space="preserve">/ </t>
    </r>
    <r>
      <rPr>
        <sz val="11"/>
        <color indexed="8"/>
        <rFont val="Calibri"/>
        <family val="2"/>
      </rPr>
      <t>No.de establecimientos educativos oficiales</t>
    </r>
  </si>
  <si>
    <r>
      <t xml:space="preserve">No. Hectáreas de ecosistemas para la regulación de la oferta hídrica conservadas </t>
    </r>
    <r>
      <rPr>
        <b/>
        <sz val="10"/>
        <color indexed="8"/>
        <rFont val="Times New Roman"/>
        <family val="1"/>
      </rPr>
      <t>/</t>
    </r>
    <r>
      <rPr>
        <sz val="10"/>
        <color indexed="8"/>
        <rFont val="Times New Roman"/>
        <family val="1"/>
      </rPr>
      <t xml:space="preserve"> Total de Hectáreas de ecosistemas</t>
    </r>
  </si>
  <si>
    <r>
      <t>Número de hectáreas de bosques reforestadas</t>
    </r>
    <r>
      <rPr>
        <b/>
        <sz val="10"/>
        <color indexed="8"/>
        <rFont val="Times New Roman"/>
        <family val="1"/>
      </rPr>
      <t xml:space="preserve"> /</t>
    </r>
    <r>
      <rPr>
        <sz val="10"/>
        <color indexed="8"/>
        <rFont val="Times New Roman"/>
        <family val="1"/>
      </rPr>
      <t xml:space="preserve"> Total de hectáreas de bosques </t>
    </r>
  </si>
  <si>
    <r>
      <t xml:space="preserve">Número de personas muertas por desastres por año </t>
    </r>
    <r>
      <rPr>
        <b/>
        <sz val="10"/>
        <color indexed="8"/>
        <rFont val="Times New Roman"/>
        <family val="1"/>
      </rPr>
      <t>/</t>
    </r>
    <r>
      <rPr>
        <sz val="10"/>
        <color indexed="8"/>
        <rFont val="Times New Roman"/>
        <family val="1"/>
      </rPr>
      <t xml:space="preserve"> Número de personas muertas por año</t>
    </r>
  </si>
  <si>
    <t>No</t>
  </si>
  <si>
    <r>
      <t xml:space="preserve">No de vertimientos que incumplen con los estándares de disminución de la contaminación </t>
    </r>
    <r>
      <rPr>
        <b/>
        <sz val="10"/>
        <color indexed="8"/>
        <rFont val="Times New Roman"/>
        <family val="1"/>
      </rPr>
      <t xml:space="preserve">/ </t>
    </r>
    <r>
      <rPr>
        <sz val="10"/>
        <color indexed="8"/>
        <rFont val="Times New Roman"/>
        <family val="1"/>
      </rPr>
      <t>total de vertimientos</t>
    </r>
  </si>
  <si>
    <r>
      <t xml:space="preserve">Numero de Has restauradas o rehabilitadas en cuencas abastecedoras de agua con fines de protección </t>
    </r>
    <r>
      <rPr>
        <b/>
        <sz val="10"/>
        <color indexed="8"/>
        <rFont val="Times New Roman"/>
        <family val="1"/>
      </rPr>
      <t>/</t>
    </r>
    <r>
      <rPr>
        <sz val="10"/>
        <color indexed="8"/>
        <rFont val="Times New Roman"/>
        <family val="1"/>
      </rPr>
      <t xml:space="preserve"> Total Has restauradas o rehabilitadas.</t>
    </r>
  </si>
  <si>
    <r>
      <t>No.has agrícola sembrada</t>
    </r>
    <r>
      <rPr>
        <b/>
        <sz val="11"/>
        <color indexed="8"/>
        <rFont val="Calibri"/>
        <family val="2"/>
      </rPr>
      <t xml:space="preserve"> /</t>
    </r>
    <r>
      <rPr>
        <sz val="11"/>
        <color theme="1"/>
        <rFont val="Calibri"/>
        <family val="2"/>
        <scheme val="minor"/>
      </rPr>
      <t xml:space="preserve"> Total Has. Área rural</t>
    </r>
  </si>
  <si>
    <r>
      <t>No.has agrícola sembrada de cultivos transitorios</t>
    </r>
    <r>
      <rPr>
        <b/>
        <sz val="11"/>
        <color indexed="8"/>
        <rFont val="Calibri"/>
        <family val="2"/>
      </rPr>
      <t xml:space="preserve"> /</t>
    </r>
    <r>
      <rPr>
        <sz val="11"/>
        <color theme="1"/>
        <rFont val="Calibri"/>
        <family val="2"/>
        <scheme val="minor"/>
      </rPr>
      <t xml:space="preserve"> Total Has. agrícola sembrada</t>
    </r>
  </si>
  <si>
    <r>
      <t xml:space="preserve">No.has agrícola sembrada de cultivos permanentes </t>
    </r>
    <r>
      <rPr>
        <sz val="11"/>
        <color indexed="8"/>
        <rFont val="Calibri"/>
        <family val="2"/>
      </rPr>
      <t>/</t>
    </r>
    <r>
      <rPr>
        <sz val="11"/>
        <color theme="1"/>
        <rFont val="Calibri"/>
        <family val="2"/>
        <scheme val="minor"/>
      </rPr>
      <t xml:space="preserve"> Total Has. agrícola sembrada</t>
    </r>
  </si>
  <si>
    <r>
      <t>Número de homicidios</t>
    </r>
    <r>
      <rPr>
        <b/>
        <sz val="10"/>
        <color indexed="8"/>
        <rFont val="Times New Roman"/>
        <family val="1"/>
      </rPr>
      <t xml:space="preserve"> /</t>
    </r>
    <r>
      <rPr>
        <sz val="10"/>
        <color indexed="8"/>
        <rFont val="Times New Roman"/>
        <family val="1"/>
      </rPr>
      <t xml:space="preserve"> total de muertes</t>
    </r>
  </si>
  <si>
    <r>
      <t xml:space="preserve">No de organizaciones ciudadanas que participan en la formulación y seguimiento del plan de desarrollo y presupuesto </t>
    </r>
    <r>
      <rPr>
        <b/>
        <sz val="10"/>
        <color indexed="8"/>
        <rFont val="Times New Roman"/>
        <family val="1"/>
      </rPr>
      <t>/</t>
    </r>
    <r>
      <rPr>
        <sz val="10"/>
        <color indexed="8"/>
        <rFont val="Times New Roman"/>
        <family val="1"/>
      </rPr>
      <t xml:space="preserve"> total organizaciones ciudadanas</t>
    </r>
  </si>
  <si>
    <r>
      <t xml:space="preserve">No de rendición de cuentas realizado anualmente en la entidad territorial que cumpla con las etapas propuestas en el Conpes 3654 de 2010 “Informar, dialogar y retroalimentar” </t>
    </r>
    <r>
      <rPr>
        <b/>
        <sz val="10"/>
        <color indexed="8"/>
        <rFont val="Times New Roman"/>
        <family val="1"/>
      </rPr>
      <t>/</t>
    </r>
    <r>
      <rPr>
        <sz val="10"/>
        <color indexed="8"/>
        <rFont val="Times New Roman"/>
        <family val="1"/>
      </rPr>
      <t xml:space="preserve"> total de rendición de cuentas</t>
    </r>
  </si>
  <si>
    <r>
      <t xml:space="preserve">No.de adolescentes en riesgo de incurrir en una conducta punible (delitos) que son vinculados a la oferta institucional </t>
    </r>
    <r>
      <rPr>
        <b/>
        <sz val="10"/>
        <color indexed="8"/>
        <rFont val="Times New Roman"/>
        <family val="1"/>
      </rPr>
      <t>/</t>
    </r>
    <r>
      <rPr>
        <sz val="10"/>
        <color indexed="8"/>
        <rFont val="Times New Roman"/>
        <family val="1"/>
      </rPr>
      <t xml:space="preserve"> Total de adolescentes en riesgo de incurrir en una conducta punible (delitos)</t>
    </r>
  </si>
  <si>
    <t>Porcentaje de hogares incluidos en el RUV que cuentan con todos los miembros afiliados al Sistema General de Seguridad Social en Salud</t>
  </si>
  <si>
    <r>
      <t xml:space="preserve">No de hogares incluidos en el RUV que cuentan con todos los miembros afiliados al Sistema General de Seguridad Social en Salud </t>
    </r>
    <r>
      <rPr>
        <b/>
        <sz val="10"/>
        <color indexed="8"/>
        <rFont val="Times New Roman"/>
        <family val="1"/>
      </rPr>
      <t>/</t>
    </r>
    <r>
      <rPr>
        <sz val="10"/>
        <color indexed="8"/>
        <rFont val="Times New Roman"/>
        <family val="1"/>
      </rPr>
      <t xml:space="preserve"> Total de hogares incluidos en el RUV</t>
    </r>
  </si>
  <si>
    <r>
      <t xml:space="preserve">No de personas incluidas en el RUPD que recibieron apoyo psicosocial </t>
    </r>
    <r>
      <rPr>
        <b/>
        <sz val="10"/>
        <color indexed="8"/>
        <rFont val="Times New Roman"/>
        <family val="1"/>
      </rPr>
      <t>/</t>
    </r>
    <r>
      <rPr>
        <sz val="10"/>
        <color indexed="8"/>
        <rFont val="Times New Roman"/>
        <family val="1"/>
      </rPr>
      <t xml:space="preserve"> Total de personas incluidas en el RUPD</t>
    </r>
  </si>
  <si>
    <t xml:space="preserve">No de hogares con niños incluidos en el RUV con vacunas de DPT y Tripe viral / Total de hogares con niños incluidos en el RUV </t>
  </si>
  <si>
    <r>
      <t xml:space="preserve">No estudiantes víctimas por nivel educativo </t>
    </r>
    <r>
      <rPr>
        <b/>
        <sz val="10"/>
        <color indexed="8"/>
        <rFont val="Times New Roman"/>
        <family val="1"/>
      </rPr>
      <t xml:space="preserve">/ </t>
    </r>
    <r>
      <rPr>
        <sz val="10"/>
        <color indexed="8"/>
        <rFont val="Times New Roman"/>
        <family val="1"/>
      </rPr>
      <t>total de personas víctimas en edad de estudiar por nivel educativo</t>
    </r>
  </si>
  <si>
    <r>
      <t xml:space="preserve">No de hogares incluidos en el RUV en los que sus miembros cuentan con todos los documentos de identificación que les corresponde, según edad y género </t>
    </r>
    <r>
      <rPr>
        <b/>
        <sz val="10"/>
        <color indexed="8"/>
        <rFont val="Times New Roman"/>
        <family val="1"/>
      </rPr>
      <t>/</t>
    </r>
    <r>
      <rPr>
        <sz val="10"/>
        <color indexed="8"/>
        <rFont val="Times New Roman"/>
        <family val="1"/>
      </rPr>
      <t xml:space="preserve"> No de hogares incluidos en el RUV</t>
    </r>
  </si>
  <si>
    <t>Proporción de hogares que recibieron las tres   componentes básicas de ayuda humanitaria de emergencia (alimentación,  alojamiento y salud)</t>
  </si>
  <si>
    <r>
      <t xml:space="preserve">No de hogares que recibieron los tres componentes básicas de ayuda humanitaria de emergencia (alimentación,  alojamiento y salud) </t>
    </r>
    <r>
      <rPr>
        <b/>
        <sz val="10"/>
        <color indexed="8"/>
        <rFont val="Times New Roman"/>
        <family val="1"/>
      </rPr>
      <t>/</t>
    </r>
    <r>
      <rPr>
        <sz val="10"/>
        <color indexed="8"/>
        <rFont val="Times New Roman"/>
        <family val="1"/>
      </rPr>
      <t xml:space="preserve"> Total de hogares víctimas</t>
    </r>
  </si>
  <si>
    <r>
      <t xml:space="preserve">N de hogares incluidos en el RUV que posee al menos una fuente de ingresos autónoma y su ingreso supera como mínimo a línea de pobreza </t>
    </r>
    <r>
      <rPr>
        <b/>
        <sz val="10"/>
        <color indexed="8"/>
        <rFont val="Times New Roman"/>
        <family val="1"/>
      </rPr>
      <t>/</t>
    </r>
    <r>
      <rPr>
        <sz val="10"/>
        <color indexed="8"/>
        <rFont val="Times New Roman"/>
        <family val="1"/>
      </rPr>
      <t xml:space="preserve"> No. de hogares incluidos en el RUV</t>
    </r>
  </si>
  <si>
    <r>
      <t xml:space="preserve">No de hogares incluidos en el RUV con habitación  legal del predio </t>
    </r>
    <r>
      <rPr>
        <b/>
        <sz val="10"/>
        <color indexed="8"/>
        <rFont val="Times New Roman"/>
        <family val="1"/>
      </rPr>
      <t>/</t>
    </r>
    <r>
      <rPr>
        <sz val="10"/>
        <color indexed="8"/>
        <rFont val="Times New Roman"/>
        <family val="1"/>
      </rPr>
      <t xml:space="preserve"> No. de hogares incluidos en el RUV</t>
    </r>
  </si>
  <si>
    <t>No de hogares incluidos en el RUV con deficit cualitativo de vivienda / Total de hogares incluidos en el RUV</t>
  </si>
  <si>
    <r>
      <t xml:space="preserve">No de hogares incluidos en el RUV con deficit cuantitativo de vivienda </t>
    </r>
    <r>
      <rPr>
        <b/>
        <sz val="10"/>
        <color indexed="8"/>
        <rFont val="Times New Roman"/>
        <family val="1"/>
      </rPr>
      <t>/</t>
    </r>
    <r>
      <rPr>
        <sz val="10"/>
        <color indexed="8"/>
        <rFont val="Times New Roman"/>
        <family val="1"/>
      </rPr>
      <t xml:space="preserve"> Total de hogares incluidos en el RUV</t>
    </r>
  </si>
  <si>
    <t>1) 114,52              2) 89,85</t>
  </si>
  <si>
    <t>1) 111,0          2)90,95</t>
  </si>
  <si>
    <t>1) 110,28  2) 89,23</t>
  </si>
  <si>
    <t>1) 101,72   2) 95,43</t>
  </si>
  <si>
    <t>Regular</t>
  </si>
  <si>
    <t xml:space="preserve">Regular </t>
  </si>
  <si>
    <t>Bueno</t>
  </si>
  <si>
    <t>3 casos heridos, 0 muertes</t>
  </si>
  <si>
    <t>6 casos heridos,  0 muertes</t>
  </si>
  <si>
    <t>17 casos heridos,  0 muertes</t>
  </si>
  <si>
    <t>13 casos heridos,  1 muerte</t>
  </si>
  <si>
    <t>1                     ASOVIF</t>
  </si>
  <si>
    <t>1                   ASOVIF</t>
  </si>
  <si>
    <t>Gastos de funcionamiento/ ICLD*100</t>
  </si>
  <si>
    <t>Capacidad de ahorro</t>
  </si>
  <si>
    <t>Ahorro corriente/Ingresos corrientes *100</t>
  </si>
  <si>
    <t xml:space="preserve">Magnitud de la inversión </t>
  </si>
  <si>
    <t>Inversión/gasto total</t>
  </si>
  <si>
    <t>65.64%</t>
  </si>
  <si>
    <t>4casos heridos; 0 muertes</t>
  </si>
  <si>
    <t>Capacidad Administrativa</t>
  </si>
  <si>
    <t>13 casos heridos; 0 muertes</t>
  </si>
  <si>
    <t>0.18</t>
  </si>
  <si>
    <t>93.71</t>
  </si>
  <si>
    <t>10 casos heridos; 0 muertes</t>
  </si>
  <si>
    <t>11 casos heridos;1 muertes</t>
  </si>
  <si>
    <t>Tasa de homicidios por cada 100.000 habitantes</t>
  </si>
  <si>
    <t>(Número de homicidios / Población total)*100.000</t>
  </si>
  <si>
    <t>1- ASOVIF; 1-ASOCOARC</t>
  </si>
  <si>
    <t>NOTA: La última prueba aplicada y publicada del Examen Saber 3°,5° y 9° fue en 2017</t>
  </si>
  <si>
    <t>N/A</t>
  </si>
  <si>
    <t>0.19</t>
  </si>
  <si>
    <t>X</t>
  </si>
  <si>
    <t>Habichuela Independiente</t>
  </si>
  <si>
    <t>Hortalizas</t>
  </si>
  <si>
    <t>Lechuga</t>
  </si>
  <si>
    <t>Plátano</t>
  </si>
  <si>
    <t>Pimentón</t>
  </si>
  <si>
    <t>Tomate Invernadero</t>
  </si>
  <si>
    <t>Aguacate Independiente</t>
  </si>
  <si>
    <t>Aguacate Intercalado</t>
  </si>
  <si>
    <t>Café</t>
  </si>
  <si>
    <t>Cítricos</t>
  </si>
  <si>
    <t>Ahuyama</t>
  </si>
  <si>
    <t>Sábila</t>
  </si>
  <si>
    <t>Banano Intercalado</t>
  </si>
  <si>
    <t>Banano Independiente</t>
  </si>
  <si>
    <t>Follaje Helecho Cuero</t>
  </si>
  <si>
    <t>Forestales Pinos</t>
  </si>
  <si>
    <t>Granadilla</t>
  </si>
  <si>
    <t>Lulo Independiente</t>
  </si>
  <si>
    <t>Lulo Intercalado</t>
  </si>
  <si>
    <t>-</t>
  </si>
  <si>
    <t>N° de colegios con clacificación A+/ Total de I.E</t>
  </si>
  <si>
    <t>N° de colegios con clacificación A/ Total de I.E</t>
  </si>
  <si>
    <t>N° de colegios con clacificación B/ Total de I.E</t>
  </si>
  <si>
    <t>N° de colegios con clacificación C/ Total de I.E</t>
  </si>
  <si>
    <t>N° de colegios con clacificación D/ Total de I.E</t>
  </si>
  <si>
    <t>Porcentaje de Colegios pruebas SABER 11 con clasificación A+, A, B, C, D.</t>
  </si>
  <si>
    <t>1.54</t>
  </si>
  <si>
    <t>0.78</t>
  </si>
  <si>
    <t>1.17</t>
  </si>
  <si>
    <t>0.94</t>
  </si>
  <si>
    <t>1.11</t>
  </si>
  <si>
    <t>1.1</t>
  </si>
  <si>
    <t>1.58</t>
  </si>
  <si>
    <t>1.41</t>
  </si>
  <si>
    <t>1.39</t>
  </si>
  <si>
    <t>5.52</t>
  </si>
  <si>
    <t>4.62</t>
  </si>
  <si>
    <r>
      <t xml:space="preserve"> Porcentaje de estudiantes que se encuentran en nivel de desempeño satisfactorio y avanzado en las pruebas SABER 5 (</t>
    </r>
    <r>
      <rPr>
        <b/>
        <sz val="11"/>
        <color rgb="FF000000"/>
        <rFont val="Times New Roman"/>
        <family val="1"/>
      </rPr>
      <t>Lenguaje</t>
    </r>
    <r>
      <rPr>
        <sz val="11"/>
        <color indexed="8"/>
        <rFont val="Times New Roman"/>
        <family val="1"/>
      </rPr>
      <t>)</t>
    </r>
  </si>
  <si>
    <r>
      <t xml:space="preserve"> Porcentaje de estudiantes que se encuentran en nivel de desempeño satisfactorio y avanzado en las pruebas SABER 5 (</t>
    </r>
    <r>
      <rPr>
        <b/>
        <sz val="11"/>
        <color rgb="FF000000"/>
        <rFont val="Times New Roman"/>
        <family val="1"/>
      </rPr>
      <t>Matemáticas</t>
    </r>
    <r>
      <rPr>
        <sz val="11"/>
        <color indexed="8"/>
        <rFont val="Times New Roman"/>
        <family val="1"/>
      </rPr>
      <t>)</t>
    </r>
  </si>
  <si>
    <r>
      <t xml:space="preserve"> Porcentaje de estudiantes que se encuentran en nivel de desempeño satisfactorio y avanzado en las pruebas SABER 9 (</t>
    </r>
    <r>
      <rPr>
        <b/>
        <sz val="11"/>
        <color rgb="FF000000"/>
        <rFont val="Times New Roman"/>
        <family val="1"/>
      </rPr>
      <t>Lenguaje</t>
    </r>
    <r>
      <rPr>
        <sz val="11"/>
        <color indexed="8"/>
        <rFont val="Times New Roman"/>
        <family val="1"/>
      </rPr>
      <t>)</t>
    </r>
  </si>
  <si>
    <r>
      <t xml:space="preserve"> Porcentaje de estudiantes que se encuentran en nivel de desempeño satisfactorio y avanzado en las pruebas SABER 9 (</t>
    </r>
    <r>
      <rPr>
        <b/>
        <sz val="11"/>
        <color rgb="FF000000"/>
        <rFont val="Times New Roman"/>
        <family val="1"/>
      </rPr>
      <t>Matemáticas</t>
    </r>
    <r>
      <rPr>
        <sz val="11"/>
        <color indexed="8"/>
        <rFont val="Times New Roman"/>
        <family val="1"/>
      </rPr>
      <t>)</t>
    </r>
  </si>
  <si>
    <t>1) 50% 2) 5%</t>
  </si>
  <si>
    <t>1)45% 2)4%</t>
  </si>
  <si>
    <t>1) 30% 2) 13%</t>
  </si>
  <si>
    <t>1) 38% 2) 29%</t>
  </si>
  <si>
    <t xml:space="preserve"> 1) 30% 2) 11%</t>
  </si>
  <si>
    <t>1) 41% 2) 35%</t>
  </si>
  <si>
    <t>1)32% 2) 27%</t>
  </si>
  <si>
    <t>1) 27%  2) 15%</t>
  </si>
  <si>
    <t>1) 23% 2) 13%</t>
  </si>
  <si>
    <t>1) 37% 2) 26%</t>
  </si>
  <si>
    <t>1) 19% 2) 14%</t>
  </si>
  <si>
    <t>1) 27% 2) 28%</t>
  </si>
  <si>
    <t>1) 20% 2) 19%</t>
  </si>
  <si>
    <t>1) 19% 2) 11%</t>
  </si>
  <si>
    <t>1) 36% 2) 6%</t>
  </si>
  <si>
    <t>1) 41% 2) 5%</t>
  </si>
  <si>
    <t>1) 25% 2) 11%</t>
  </si>
  <si>
    <t>1) 42% 2) 5%</t>
  </si>
  <si>
    <t>1) 23%  2) 3%</t>
  </si>
  <si>
    <t>1) 16% 2) 3%</t>
  </si>
  <si>
    <t>1) 23% 2) 3%</t>
  </si>
  <si>
    <t>1) 29% 2) 4%</t>
  </si>
  <si>
    <t>1) 31% 2) 31%</t>
  </si>
  <si>
    <t>1) 21% 2) 4%</t>
  </si>
  <si>
    <t>Tasa de casos de violencia sexual por 100.000 habitantes</t>
  </si>
  <si>
    <t>Tasa de casos de violencia fisica por 100.000 habitantes</t>
  </si>
  <si>
    <t>No. exámenes médico legales por presunto delito sexual durante un período dado / Total de la población durante el mismo período x 100.000</t>
  </si>
  <si>
    <t>La Tasa de Violencia Intrafamiliar es el número de casos de violencia física reportados sobre el número total de la población por cada 100.000 habitantes.</t>
  </si>
  <si>
    <t>Tasa de casos de violencia sexual por 100.000 habitantes en NNA</t>
  </si>
  <si>
    <t>Tasa de casos de violencia fisica por 100.000 habitantes en NNA</t>
  </si>
  <si>
    <t>No. exámenes médico legales por presunto delito sexual realizados en los NNA/ Total de la población durante el mismo período x 100.000</t>
  </si>
  <si>
    <t>La Tasa de Violencia Intrafamiliar es el número de casos de violencia física en NNA reportados sobre el número total de la población por cada 100.000 habitantes.</t>
  </si>
  <si>
    <t>suma total por cuatrimestre de usuarios con acceso a internet / los cuatrimestres</t>
  </si>
  <si>
    <t xml:space="preserve">Superficie agrícola sembrada  de cultivos transitorios </t>
  </si>
  <si>
    <t>promedio de pruebas SABER 5</t>
  </si>
  <si>
    <t>Promedio de pruebas SABER 9</t>
  </si>
  <si>
    <t>Promedio de pruebas SABER 11</t>
  </si>
  <si>
    <t>Tasa de repetición anual</t>
  </si>
  <si>
    <r>
      <t>(No. Presonas asegurada al SGSSS</t>
    </r>
    <r>
      <rPr>
        <b/>
        <sz val="10"/>
        <color indexed="8"/>
        <rFont val="Times New Roman"/>
        <family val="1"/>
      </rPr>
      <t>/</t>
    </r>
    <r>
      <rPr>
        <sz val="10"/>
        <color indexed="8"/>
        <rFont val="Times New Roman"/>
        <family val="1"/>
      </rPr>
      <t>población total del Municipio</t>
    </r>
    <r>
      <rPr>
        <sz val="10"/>
        <color indexed="8"/>
        <rFont val="Times New Roman"/>
        <family val="1"/>
      </rPr>
      <t>)*100</t>
    </r>
  </si>
  <si>
    <t>Mortalidad Fetal</t>
  </si>
  <si>
    <t>Mortalidad General</t>
  </si>
  <si>
    <t>Mortalidad Materna</t>
  </si>
  <si>
    <t>Mortalidad Neonatal</t>
  </si>
  <si>
    <t>Mortalidad Perinatal - Fetal &gt;22 Semanas</t>
  </si>
  <si>
    <t>Mortalidad Perinatal - Neonatal a 7 días</t>
  </si>
  <si>
    <t>Nacidos Vivos</t>
  </si>
  <si>
    <t>Tasa Mortalidad General</t>
  </si>
  <si>
    <t>Tasa Mortalidad Infantil</t>
  </si>
  <si>
    <t>Tasa Natalidad</t>
  </si>
  <si>
    <t>(N° de defunciones/Población total)*1000</t>
  </si>
  <si>
    <t>(N° de defunciones en menores de un año/N° nacidos vivos registrados)*1000</t>
  </si>
  <si>
    <t>(N° de nacidos vivos/Población total)*1000</t>
  </si>
  <si>
    <t>Tasa de mortalidad asociada a VIH/SIDA en hombres.</t>
  </si>
  <si>
    <t>Tasa de mortalidad asociada a VIH/SIDA en mujeres</t>
  </si>
  <si>
    <t>Tasa de mortalidad asociada a cáncer de cuello uterino (por 100.000 mujeres).</t>
  </si>
  <si>
    <t>(No de  defunciones en mujeres por causa asociada a cáncer de cuello uterino/No. total de población total femenina )*100000</t>
  </si>
  <si>
    <t>Cantidad de muertes fetales</t>
  </si>
  <si>
    <t>Cantidad de defunciones</t>
  </si>
  <si>
    <t>Cantidad de defunciones de mujeres durante su embaraxo</t>
  </si>
  <si>
    <r>
      <t>(Población sin Servicio de Acueducto Zona Rural</t>
    </r>
    <r>
      <rPr>
        <b/>
        <sz val="10"/>
        <color indexed="8"/>
        <rFont val="Times New Roman"/>
        <family val="1"/>
      </rPr>
      <t>/</t>
    </r>
    <r>
      <rPr>
        <sz val="10"/>
        <color indexed="8"/>
        <rFont val="Times New Roman"/>
        <family val="1"/>
      </rPr>
      <t>Población total Zona Rural)*100</t>
    </r>
  </si>
  <si>
    <t>9 casos heridos; 0 muertes</t>
  </si>
  <si>
    <r>
      <t>(Número de escenarios deportivos en buen estado</t>
    </r>
    <r>
      <rPr>
        <b/>
        <sz val="10"/>
        <color indexed="8"/>
        <rFont val="Times New Roman"/>
        <family val="1"/>
      </rPr>
      <t>/</t>
    </r>
    <r>
      <rPr>
        <sz val="10"/>
        <color indexed="8"/>
        <rFont val="Times New Roman"/>
        <family val="1"/>
      </rPr>
      <t>Total escenarios deportivos Municipio</t>
    </r>
    <r>
      <rPr>
        <sz val="10"/>
        <color indexed="8"/>
        <rFont val="Times New Roman"/>
        <family val="1"/>
      </rPr>
      <t>)*100</t>
    </r>
  </si>
  <si>
    <t>1                    ASOVIF</t>
  </si>
  <si>
    <t>Mortalidad por infección respiratoria aguda(IRA) menores 5 años</t>
  </si>
  <si>
    <t xml:space="preserve">Mortalidad por diarreica aguda (EDA) menores 5 años. </t>
  </si>
  <si>
    <t xml:space="preserve">No de muertes en hombres asociada a VIH/SIDA./población total de hombres </t>
  </si>
  <si>
    <t>No de muertes en mujeres asociada a VIH/SIDA./población total en mujeres</t>
  </si>
  <si>
    <t>Tasa específica de fecundidad de mujeres de 15 a 19 años</t>
  </si>
  <si>
    <t>(Número de nacimientos de mujeres de 10 a 14  años/mujeres de 10 a 14 años) *1000</t>
  </si>
  <si>
    <t>(Número de temáticas de información publicadas en línea  / Total de temáticas de información a publicar en línea) x 100</t>
  </si>
  <si>
    <t>Porcentaje  de escenarios deportivos en buen estado</t>
  </si>
  <si>
    <t>Porcentaje de organizaciones ciudadanas que participan en la formulación y seguimiento del plan de desarrollo y presupuesto.</t>
  </si>
  <si>
    <t>Número de proyectos u obras públicas a los que anualmente se les hacen veedurías ciudadanas.</t>
  </si>
  <si>
    <t>Número de veedurías creadas.</t>
  </si>
  <si>
    <r>
      <t xml:space="preserve">No. de organizaciones sociales que participan en programas de capacitación y/o asistencia técnica </t>
    </r>
    <r>
      <rPr>
        <b/>
        <sz val="10"/>
        <color indexed="8"/>
        <rFont val="Times New Roman"/>
        <family val="1"/>
      </rPr>
      <t>/</t>
    </r>
    <r>
      <rPr>
        <sz val="10"/>
        <color indexed="8"/>
        <rFont val="Times New Roman"/>
        <family val="1"/>
      </rPr>
      <t xml:space="preserve"> total organizaciones  sociales</t>
    </r>
  </si>
  <si>
    <t>N°.</t>
  </si>
  <si>
    <t>Nota: A partir del año 2018 se aplica una nueva metodologia sobre el índice de Desempeño Integral a Desempeño municipal.</t>
  </si>
  <si>
    <t>Índice de desempeño integral / Índice de Desempeño Municipal.</t>
  </si>
  <si>
    <t>Indice de eficacia</t>
  </si>
  <si>
    <t>Avance plan de desarrollo   cumplimiento metas producto</t>
  </si>
  <si>
    <t>Modelo Integrado de Planeación y Gestión.</t>
  </si>
  <si>
    <t>Autofinanciamiento de los gastos de funcionamiento / Nivel de Holgura</t>
  </si>
  <si>
    <t>Nota: A partir del año 2019 se empiezan a registrar datos para el Municipio, sobre el promedio del número de suscriptores con acceso dedicado a Internet .</t>
  </si>
  <si>
    <t>Porcentaje de niños y niñas menores de 6 años beneficiados de  programas que promueven los derechos culturales.</t>
  </si>
  <si>
    <r>
      <t xml:space="preserve">No. de mujeres que han sido protegidas y atendidas integralmente ante hechos de violencia en su contra </t>
    </r>
    <r>
      <rPr>
        <b/>
        <sz val="10"/>
        <color indexed="8"/>
        <rFont val="Times New Roman"/>
        <family val="1"/>
      </rPr>
      <t>/</t>
    </r>
    <r>
      <rPr>
        <sz val="10"/>
        <color indexed="8"/>
        <rFont val="Times New Roman"/>
        <family val="1"/>
      </rPr>
      <t xml:space="preserve"> total de mujeres víctimas de violencia</t>
    </r>
  </si>
  <si>
    <t>Porcentaje de personas incluidas en el RUPD que recibieron apoyo psicosocial.</t>
  </si>
  <si>
    <r>
      <t xml:space="preserve">No de hogares que recibieron los tres componentes de ayuda inmediata (alojamiento, alimentación y salud en la emergencia) </t>
    </r>
    <r>
      <rPr>
        <b/>
        <sz val="10"/>
        <color indexed="8"/>
        <rFont val="Times New Roman"/>
        <family val="1"/>
      </rPr>
      <t>/</t>
    </r>
    <r>
      <rPr>
        <sz val="10"/>
        <color indexed="8"/>
        <rFont val="Times New Roman"/>
        <family val="1"/>
      </rPr>
      <t xml:space="preserve"> total de hogares que necesitaban</t>
    </r>
  </si>
  <si>
    <t>Numero de niños y adolescentes en abandono por grupos etarios</t>
  </si>
  <si>
    <t>Numero de niños y adolescentes que viven en las calles</t>
  </si>
  <si>
    <r>
      <t xml:space="preserve">No niños (as) con desnutrición crónica o retraso en talla por grupos etarios </t>
    </r>
    <r>
      <rPr>
        <b/>
        <sz val="10"/>
        <color indexed="8"/>
        <rFont val="Times New Roman"/>
        <family val="1"/>
      </rPr>
      <t xml:space="preserve"> /</t>
    </r>
    <r>
      <rPr>
        <sz val="10"/>
        <color indexed="8"/>
        <rFont val="Times New Roman"/>
        <family val="1"/>
      </rPr>
      <t xml:space="preserve"> total niños (as) para la edad por grupos etarios</t>
    </r>
  </si>
  <si>
    <t>Ampliar y/o mantener la infraestructura física de las dependencias administrativas del municipio y bienes de uso público de propiedad del municipio</t>
  </si>
  <si>
    <t>N°</t>
  </si>
  <si>
    <t>Tasa de cobertura bruta en educación secundaria.</t>
  </si>
  <si>
    <t>3.87</t>
  </si>
  <si>
    <t>4 casos heridos; 0 muertes</t>
  </si>
  <si>
    <t>Reducción de número de casos de muertes y heridos de transito por accidente.</t>
  </si>
  <si>
    <t>Kilómetros de la red  vial pavimentados.</t>
  </si>
  <si>
    <t xml:space="preserve">Promedio del número de suscriptores con acceso dedicado a Internet </t>
  </si>
  <si>
    <t>Tasa específica de fecundidad de mujeres de 10 a 14 años</t>
  </si>
  <si>
    <t>Cantidad de nacimientos registrados</t>
  </si>
  <si>
    <r>
      <t>(Número de nacimientos de mujeres de 15 a 19 años</t>
    </r>
    <r>
      <rPr>
        <b/>
        <sz val="10"/>
        <color indexed="8"/>
        <rFont val="Times New Roman"/>
        <family val="1"/>
      </rPr>
      <t>/</t>
    </r>
    <r>
      <rPr>
        <sz val="10"/>
        <color indexed="8"/>
        <rFont val="Times New Roman"/>
        <family val="1"/>
      </rPr>
      <t>No. mujeres de 15 a 19 años )*1000</t>
    </r>
  </si>
  <si>
    <t>Nota: Los datos del 2022 son preliminares, se está a la espera de que salgan los datos definitivos.</t>
  </si>
  <si>
    <t>(No.de maternas muertas/Total nacidos vivos)*100.000 nacidos vivos</t>
  </si>
  <si>
    <t>Índice de Gobierno Digital.</t>
  </si>
  <si>
    <t>Número de casos de hurto común (incluye personas, residencias y comercio) / población vulnerable  * 10.000 Hab</t>
  </si>
  <si>
    <t>Nota: A partir del año 2019 hasta 2021 se aplica una nueva metodología sobre el índice fiscal. Para el año 2022 se aplica una metodología diferente.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</si>
</sst>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_€_-;\-* #,##0\ _€_-;_-* &quot;-&quot;\ _€_-;_-@_-"/>
    <numFmt numFmtId="165" formatCode="0.0"/>
    <numFmt numFmtId="166" formatCode="_-* #,##0.00\ _€_-;\-* #,##0.00\ _€_-;_-* &quot;-&quot;\ _€_-;_-@_-"/>
    <numFmt numFmtId="167" formatCode="0.0%"/>
    <numFmt numFmtId="168" formatCode="0.000"/>
    <numFmt numFmtId="169" formatCode="0.0000"/>
  </numFmts>
  <fonts count="26" x14ac:knownFonts="1">
    <font>
      <sz val="11"/>
      <color theme="1"/>
      <name val="Calibri"/>
      <family val="2"/>
      <scheme val="minor"/>
    </font>
    <font>
      <sz val="10"/>
      <color indexed="8"/>
      <name val="Times New Roman"/>
      <family val="1"/>
    </font>
    <font>
      <sz val="11"/>
      <color indexed="8"/>
      <name val="Calibri"/>
      <family val="2"/>
    </font>
    <font>
      <sz val="10"/>
      <color indexed="8"/>
      <name val="Times New Roman"/>
      <family val="1"/>
    </font>
    <font>
      <sz val="10"/>
      <color indexed="8"/>
      <name val="Times New Roman"/>
      <family val="1"/>
    </font>
    <font>
      <sz val="8"/>
      <name val="Calibri"/>
      <family val="2"/>
    </font>
    <font>
      <b/>
      <sz val="10"/>
      <color indexed="8"/>
      <name val="Times New Roman"/>
      <family val="1"/>
    </font>
    <font>
      <b/>
      <sz val="10"/>
      <color indexed="8"/>
      <name val="Arial"/>
      <family val="2"/>
    </font>
    <font>
      <b/>
      <sz val="11"/>
      <color indexed="8"/>
      <name val="Calibri"/>
      <family val="2"/>
    </font>
    <font>
      <sz val="10"/>
      <color indexed="8"/>
      <name val="Calibri"/>
      <family val="2"/>
    </font>
    <font>
      <sz val="10"/>
      <color theme="1"/>
      <name val="Times New Roman"/>
      <family val="1"/>
    </font>
    <font>
      <b/>
      <sz val="12"/>
      <color theme="1"/>
      <name val="Calibri"/>
      <family val="2"/>
      <scheme val="minor"/>
    </font>
    <font>
      <b/>
      <sz val="10"/>
      <color theme="1"/>
      <name val="Times New Roman"/>
      <family val="1"/>
    </font>
    <font>
      <b/>
      <sz val="11"/>
      <color theme="1"/>
      <name val="Calibri"/>
      <family val="2"/>
      <scheme val="minor"/>
    </font>
    <font>
      <b/>
      <sz val="12"/>
      <color indexed="8"/>
      <name val="Times New Roman"/>
      <family val="1"/>
    </font>
    <font>
      <sz val="12"/>
      <color theme="1"/>
      <name val="Calibri"/>
      <family val="2"/>
      <scheme val="minor"/>
    </font>
    <font>
      <sz val="11"/>
      <color indexed="8"/>
      <name val="Times New Roman"/>
      <family val="1"/>
    </font>
    <font>
      <b/>
      <sz val="11"/>
      <color rgb="FF000000"/>
      <name val="Times New Roman"/>
      <family val="1"/>
    </font>
    <font>
      <b/>
      <sz val="10"/>
      <name val="Times New Roman"/>
      <family val="1"/>
    </font>
    <font>
      <sz val="10"/>
      <name val="Times New Roman"/>
      <family val="1"/>
    </font>
    <font>
      <sz val="10"/>
      <color rgb="FF000000"/>
      <name val="Times New Roman"/>
      <family val="1"/>
    </font>
    <font>
      <sz val="10"/>
      <color rgb="FF000000"/>
      <name val="Arial"/>
      <family val="2"/>
    </font>
    <font>
      <sz val="10"/>
      <color theme="1"/>
      <name val="Calibri"/>
      <family val="2"/>
      <scheme val="minor"/>
    </font>
    <font>
      <sz val="16"/>
      <color indexed="8"/>
      <name val="Times New Roman"/>
      <family val="1"/>
    </font>
    <font>
      <b/>
      <sz val="12"/>
      <color theme="1"/>
      <name val="Times New Roman"/>
      <family val="1"/>
    </font>
    <font>
      <sz val="11"/>
      <color theme="1"/>
      <name val="Times New Roman"/>
      <family val="1"/>
    </font>
  </fonts>
  <fills count="7">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9"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top style="thin">
        <color indexed="64"/>
      </top>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206">
    <xf numFmtId="0" fontId="0" fillId="0" borderId="0" xfId="0"/>
    <xf numFmtId="0" fontId="3" fillId="0" borderId="0" xfId="0" applyFont="1"/>
    <xf numFmtId="0" fontId="3" fillId="0" borderId="0" xfId="0" applyFont="1" applyAlignment="1">
      <alignment horizontal="left"/>
    </xf>
    <xf numFmtId="0" fontId="3" fillId="0" borderId="1" xfId="0" applyFont="1" applyBorder="1" applyAlignment="1">
      <alignment vertical="center" wrapText="1"/>
    </xf>
    <xf numFmtId="0" fontId="3" fillId="0" borderId="1" xfId="0" applyFont="1" applyBorder="1"/>
    <xf numFmtId="0" fontId="1" fillId="0" borderId="1" xfId="0" quotePrefix="1"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quotePrefix="1" applyFont="1" applyBorder="1" applyAlignment="1">
      <alignment horizontal="center" vertical="center" wrapText="1"/>
    </xf>
    <xf numFmtId="0" fontId="4" fillId="0" borderId="1" xfId="0" quotePrefix="1" applyFont="1" applyBorder="1" applyAlignment="1">
      <alignment horizontal="center" vertical="center" wrapText="1"/>
    </xf>
    <xf numFmtId="0" fontId="6" fillId="0" borderId="2" xfId="0" applyFont="1" applyBorder="1" applyAlignment="1">
      <alignment vertical="center" textRotation="90" wrapText="1"/>
    </xf>
    <xf numFmtId="0" fontId="6" fillId="0" borderId="2" xfId="0" applyFont="1" applyBorder="1" applyAlignment="1">
      <alignment vertical="center" wrapText="1"/>
    </xf>
    <xf numFmtId="0" fontId="6" fillId="0" borderId="1" xfId="0" applyFont="1" applyBorder="1" applyAlignment="1">
      <alignment horizontal="center" vertical="center" textRotation="90" wrapText="1"/>
    </xf>
    <xf numFmtId="0" fontId="6"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quotePrefix="1" applyFont="1" applyBorder="1" applyAlignment="1">
      <alignment horizontal="left" vertical="center" wrapText="1"/>
    </xf>
    <xf numFmtId="0" fontId="3" fillId="0" borderId="1" xfId="0" quotePrefix="1" applyFont="1" applyBorder="1" applyAlignment="1">
      <alignment horizontal="center" vertical="center"/>
    </xf>
    <xf numFmtId="0" fontId="4" fillId="0" borderId="1" xfId="0" applyFont="1" applyBorder="1" applyAlignment="1">
      <alignment horizontal="left" vertical="center" wrapText="1"/>
    </xf>
    <xf numFmtId="0" fontId="6" fillId="0" borderId="2" xfId="0" applyFont="1" applyBorder="1" applyAlignment="1">
      <alignment horizontal="center" vertical="center" textRotation="90" wrapText="1"/>
    </xf>
    <xf numFmtId="0" fontId="6" fillId="0" borderId="2" xfId="0" applyFont="1" applyBorder="1" applyAlignment="1">
      <alignment horizontal="center" vertical="center" wrapText="1"/>
    </xf>
    <xf numFmtId="0" fontId="1" fillId="0" borderId="1" xfId="0" quotePrefix="1"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3" fillId="0" borderId="3" xfId="0" applyFont="1" applyBorder="1"/>
    <xf numFmtId="2" fontId="3" fillId="0" borderId="1" xfId="0" applyNumberFormat="1" applyFont="1" applyBorder="1" applyAlignment="1">
      <alignment horizontal="center" vertical="center" wrapText="1"/>
    </xf>
    <xf numFmtId="10" fontId="3" fillId="0" borderId="1" xfId="2"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165" fontId="3" fillId="0" borderId="1" xfId="0" applyNumberFormat="1" applyFont="1" applyBorder="1"/>
    <xf numFmtId="9" fontId="0" fillId="0" borderId="1" xfId="0" applyNumberFormat="1" applyBorder="1"/>
    <xf numFmtId="0" fontId="3" fillId="0" borderId="1" xfId="0" applyFont="1" applyBorder="1" applyAlignment="1">
      <alignment horizontal="center"/>
    </xf>
    <xf numFmtId="0" fontId="1" fillId="0" borderId="1" xfId="0" applyFont="1" applyBorder="1" applyAlignment="1">
      <alignment horizontal="center" wrapText="1"/>
    </xf>
    <xf numFmtId="10" fontId="0" fillId="0" borderId="1" xfId="0" applyNumberFormat="1" applyBorder="1"/>
    <xf numFmtId="0" fontId="6" fillId="2" borderId="1" xfId="0" applyFont="1" applyFill="1" applyBorder="1" applyAlignment="1">
      <alignment horizontal="center" vertical="center" textRotation="90" wrapText="1"/>
    </xf>
    <xf numFmtId="0" fontId="6" fillId="2" borderId="1" xfId="0" applyFont="1" applyFill="1" applyBorder="1" applyAlignment="1">
      <alignment horizontal="center" vertical="center" wrapText="1"/>
    </xf>
    <xf numFmtId="0" fontId="1" fillId="2" borderId="1" xfId="0" quotePrefix="1" applyFont="1" applyFill="1" applyBorder="1" applyAlignment="1">
      <alignment horizontal="left" vertical="center" wrapText="1"/>
    </xf>
    <xf numFmtId="0" fontId="1" fillId="2" borderId="2" xfId="0" quotePrefix="1" applyFont="1" applyFill="1" applyBorder="1" applyAlignment="1">
      <alignment horizontal="left" vertical="center" wrapText="1"/>
    </xf>
    <xf numFmtId="0" fontId="3" fillId="2" borderId="1" xfId="0" applyFont="1" applyFill="1" applyBorder="1"/>
    <xf numFmtId="0" fontId="3" fillId="2" borderId="0" xfId="0" applyFont="1" applyFill="1"/>
    <xf numFmtId="10" fontId="1" fillId="0" borderId="1" xfId="0" applyNumberFormat="1" applyFont="1" applyBorder="1" applyAlignment="1">
      <alignment horizontal="center" vertical="center" wrapText="1"/>
    </xf>
    <xf numFmtId="10" fontId="1" fillId="0" borderId="1" xfId="2" applyNumberFormat="1" applyFont="1" applyFill="1" applyBorder="1" applyAlignment="1">
      <alignment horizontal="center" vertical="center" wrapText="1"/>
    </xf>
    <xf numFmtId="10" fontId="3" fillId="0" borderId="1" xfId="2" applyNumberFormat="1"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wrapText="1"/>
    </xf>
    <xf numFmtId="10"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2" fontId="1" fillId="0" borderId="1" xfId="0" applyNumberFormat="1" applyFont="1" applyBorder="1" applyAlignment="1">
      <alignment horizontal="center" vertical="center" wrapText="1"/>
    </xf>
    <xf numFmtId="0" fontId="1" fillId="0" borderId="1" xfId="0" applyFont="1" applyBorder="1" applyAlignment="1">
      <alignment horizontal="right"/>
    </xf>
    <xf numFmtId="0" fontId="3" fillId="0" borderId="1" xfId="0" applyFont="1" applyBorder="1" applyAlignment="1">
      <alignment horizontal="right"/>
    </xf>
    <xf numFmtId="0" fontId="0" fillId="4" borderId="0" xfId="0" applyFill="1"/>
    <xf numFmtId="0" fontId="11" fillId="4" borderId="0" xfId="0" applyFont="1" applyFill="1"/>
    <xf numFmtId="0" fontId="12" fillId="0" borderId="1" xfId="0" applyFont="1" applyBorder="1" applyAlignment="1">
      <alignment horizontal="center" vertical="center" wrapText="1"/>
    </xf>
    <xf numFmtId="0" fontId="6" fillId="0" borderId="1" xfId="0" applyFont="1" applyBorder="1" applyAlignment="1">
      <alignment horizontal="center" vertical="center"/>
    </xf>
    <xf numFmtId="0" fontId="0" fillId="0" borderId="1" xfId="0" applyBorder="1" applyAlignment="1">
      <alignment horizontal="center" vertical="center"/>
    </xf>
    <xf numFmtId="0" fontId="13" fillId="0" borderId="1" xfId="0" applyFont="1" applyBorder="1" applyAlignment="1">
      <alignment horizontal="center" vertical="center"/>
    </xf>
    <xf numFmtId="165" fontId="3" fillId="0" borderId="1" xfId="0" applyNumberFormat="1" applyFont="1" applyBorder="1" applyAlignment="1">
      <alignment horizontal="right"/>
    </xf>
    <xf numFmtId="165" fontId="1" fillId="0" borderId="1" xfId="0" applyNumberFormat="1" applyFont="1" applyBorder="1" applyAlignment="1">
      <alignment horizontal="right"/>
    </xf>
    <xf numFmtId="0" fontId="3" fillId="0" borderId="0" xfId="0" applyFont="1" applyAlignment="1">
      <alignment horizontal="center"/>
    </xf>
    <xf numFmtId="0" fontId="4" fillId="0" borderId="1" xfId="0" applyFont="1" applyBorder="1" applyAlignment="1">
      <alignment horizontal="center" vertical="center" wrapText="1"/>
    </xf>
    <xf numFmtId="3" fontId="1" fillId="0" borderId="1" xfId="0" applyNumberFormat="1" applyFont="1" applyBorder="1" applyAlignment="1">
      <alignment horizontal="center"/>
    </xf>
    <xf numFmtId="0" fontId="0" fillId="0" borderId="1" xfId="0" applyBorder="1" applyAlignment="1">
      <alignment horizontal="center" vertical="center" wrapText="1"/>
    </xf>
    <xf numFmtId="3" fontId="0" fillId="0" borderId="0" xfId="0" applyNumberFormat="1"/>
    <xf numFmtId="2" fontId="0" fillId="0" borderId="1" xfId="0" applyNumberFormat="1" applyBorder="1" applyAlignment="1">
      <alignment horizontal="center" vertical="center"/>
    </xf>
    <xf numFmtId="0" fontId="3" fillId="0" borderId="1" xfId="0" applyFont="1" applyBorder="1" applyAlignment="1">
      <alignment horizontal="center" vertical="center"/>
    </xf>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9" fontId="10" fillId="0" borderId="1" xfId="0" applyNumberFormat="1" applyFont="1" applyBorder="1" applyAlignment="1">
      <alignment horizontal="center" vertical="center" wrapText="1"/>
    </xf>
    <xf numFmtId="9"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0" fillId="0" borderId="0" xfId="0" applyAlignment="1">
      <alignment horizontal="center"/>
    </xf>
    <xf numFmtId="0" fontId="14" fillId="0" borderId="1" xfId="0" applyFont="1" applyBorder="1" applyAlignment="1">
      <alignment horizontal="center" vertical="center" textRotation="90" wrapText="1"/>
    </xf>
    <xf numFmtId="0" fontId="14" fillId="0" borderId="1" xfId="0" applyFont="1" applyBorder="1" applyAlignment="1">
      <alignment horizontal="center" vertical="center" wrapText="1"/>
    </xf>
    <xf numFmtId="0" fontId="15" fillId="0" borderId="0" xfId="0" applyFont="1"/>
    <xf numFmtId="0" fontId="0" fillId="4" borderId="0" xfId="0" applyFill="1" applyAlignment="1">
      <alignment horizontal="center"/>
    </xf>
    <xf numFmtId="9" fontId="3" fillId="0" borderId="1" xfId="2" applyFont="1" applyBorder="1" applyAlignment="1">
      <alignment horizontal="center" vertical="center" wrapText="1"/>
    </xf>
    <xf numFmtId="9" fontId="1" fillId="0" borderId="1" xfId="2" applyFont="1" applyBorder="1" applyAlignment="1">
      <alignment horizontal="center" vertical="center" wrapText="1"/>
    </xf>
    <xf numFmtId="9" fontId="10" fillId="0" borderId="1" xfId="2" applyFont="1" applyBorder="1" applyAlignment="1">
      <alignment horizontal="center" vertical="center" wrapText="1"/>
    </xf>
    <xf numFmtId="9" fontId="0" fillId="0" borderId="1" xfId="2"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1" fillId="0" borderId="2" xfId="0" applyFont="1" applyBorder="1" applyAlignment="1">
      <alignment horizontal="center" vertical="center" wrapText="1"/>
    </xf>
    <xf numFmtId="9" fontId="1" fillId="0" borderId="2" xfId="2" applyFont="1" applyBorder="1" applyAlignment="1">
      <alignment horizontal="center" vertical="center" wrapText="1"/>
    </xf>
    <xf numFmtId="9" fontId="10" fillId="0" borderId="2" xfId="2" applyFont="1" applyBorder="1" applyAlignment="1">
      <alignment horizontal="center" vertical="center" wrapText="1"/>
    </xf>
    <xf numFmtId="9" fontId="0" fillId="0" borderId="2" xfId="2" applyFont="1" applyBorder="1" applyAlignment="1">
      <alignment horizontal="center" vertical="center" wrapText="1"/>
    </xf>
    <xf numFmtId="0" fontId="1" fillId="0" borderId="2" xfId="0" quotePrefix="1"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quotePrefix="1" applyFont="1" applyAlignment="1">
      <alignment horizontal="center" vertical="center" wrapText="1"/>
    </xf>
    <xf numFmtId="0" fontId="18" fillId="0" borderId="1" xfId="0" applyFont="1" applyBorder="1" applyAlignment="1">
      <alignment horizontal="center" vertical="center" textRotation="90" wrapText="1"/>
    </xf>
    <xf numFmtId="0" fontId="18" fillId="0" borderId="1" xfId="0" applyFont="1" applyBorder="1" applyAlignment="1">
      <alignment horizontal="center" vertical="center" wrapText="1"/>
    </xf>
    <xf numFmtId="0" fontId="19" fillId="0" borderId="0" xfId="0" applyFont="1"/>
    <xf numFmtId="0" fontId="10" fillId="0" borderId="1" xfId="0" applyFont="1" applyBorder="1" applyAlignment="1">
      <alignment horizontal="center" vertical="center"/>
    </xf>
    <xf numFmtId="0" fontId="6" fillId="0" borderId="0" xfId="0" applyFont="1" applyAlignment="1">
      <alignment vertical="center" wrapText="1"/>
    </xf>
    <xf numFmtId="0" fontId="1" fillId="0" borderId="3" xfId="0" applyFont="1" applyBorder="1" applyAlignment="1">
      <alignment horizontal="left" vertical="center" wrapText="1"/>
    </xf>
    <xf numFmtId="0" fontId="1" fillId="0" borderId="1" xfId="0" applyFont="1" applyBorder="1" applyAlignment="1">
      <alignment horizontal="center" vertical="center"/>
    </xf>
    <xf numFmtId="0" fontId="1" fillId="0" borderId="2" xfId="0" quotePrefix="1" applyFont="1" applyBorder="1" applyAlignment="1">
      <alignment horizontal="left" vertical="center" wrapText="1"/>
    </xf>
    <xf numFmtId="0" fontId="1" fillId="0" borderId="2" xfId="0" applyFont="1" applyBorder="1" applyAlignment="1">
      <alignment horizontal="left" vertical="center" wrapText="1"/>
    </xf>
    <xf numFmtId="0" fontId="16" fillId="0" borderId="1" xfId="0" applyFont="1" applyBorder="1" applyAlignment="1">
      <alignment horizontal="center" vertical="center"/>
    </xf>
    <xf numFmtId="0" fontId="3" fillId="0" borderId="0" xfId="0" applyFont="1" applyAlignment="1">
      <alignment horizontal="center" vertical="center"/>
    </xf>
    <xf numFmtId="3" fontId="0" fillId="0" borderId="13" xfId="0" applyNumberFormat="1" applyBorder="1" applyAlignment="1">
      <alignment horizontal="left"/>
    </xf>
    <xf numFmtId="0" fontId="20" fillId="0" borderId="1" xfId="0" applyFont="1" applyBorder="1" applyAlignment="1">
      <alignment horizontal="left" vertical="center"/>
    </xf>
    <xf numFmtId="0" fontId="16" fillId="0" borderId="1" xfId="0" applyFont="1" applyBorder="1" applyAlignment="1">
      <alignment horizontal="center" vertical="center" wrapText="1"/>
    </xf>
    <xf numFmtId="4" fontId="21" fillId="0" borderId="1" xfId="0" applyNumberFormat="1" applyFont="1" applyBorder="1" applyAlignment="1">
      <alignment horizontal="center" vertical="center"/>
    </xf>
    <xf numFmtId="0" fontId="22" fillId="0" borderId="1" xfId="0" applyFont="1" applyBorder="1" applyAlignment="1">
      <alignment horizontal="center" vertical="center"/>
    </xf>
    <xf numFmtId="0" fontId="1" fillId="0" borderId="0" xfId="0" applyFont="1"/>
    <xf numFmtId="10" fontId="3" fillId="0" borderId="1" xfId="2" applyNumberFormat="1" applyFont="1" applyFill="1" applyBorder="1" applyAlignment="1">
      <alignment horizontal="center" vertical="center"/>
    </xf>
    <xf numFmtId="10" fontId="1" fillId="0" borderId="1" xfId="2" applyNumberFormat="1" applyFont="1" applyFill="1" applyBorder="1" applyAlignment="1">
      <alignment horizontal="center" vertical="center"/>
    </xf>
    <xf numFmtId="167" fontId="1" fillId="0" borderId="1" xfId="2" applyNumberFormat="1" applyFont="1" applyFill="1" applyBorder="1" applyAlignment="1">
      <alignment horizontal="center" vertical="center"/>
    </xf>
    <xf numFmtId="10" fontId="1" fillId="0" borderId="1" xfId="0" applyNumberFormat="1" applyFont="1" applyBorder="1" applyAlignment="1">
      <alignment horizontal="center" vertical="center"/>
    </xf>
    <xf numFmtId="10" fontId="3"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2" fontId="0" fillId="0" borderId="1" xfId="0" applyNumberFormat="1" applyBorder="1" applyAlignment="1">
      <alignment horizontal="center" vertical="center" wrapText="1"/>
    </xf>
    <xf numFmtId="0" fontId="20" fillId="0" borderId="1" xfId="0" applyFont="1" applyBorder="1" applyAlignment="1">
      <alignment horizontal="center" vertical="center"/>
    </xf>
    <xf numFmtId="9" fontId="1" fillId="0" borderId="1" xfId="0" applyNumberFormat="1" applyFont="1" applyBorder="1" applyAlignment="1">
      <alignment horizontal="center" vertical="center"/>
    </xf>
    <xf numFmtId="0" fontId="23" fillId="0" borderId="0" xfId="0" applyFont="1"/>
    <xf numFmtId="165" fontId="1" fillId="0" borderId="1" xfId="0" applyNumberFormat="1" applyFont="1" applyBorder="1" applyAlignment="1">
      <alignment horizontal="center" vertical="center"/>
    </xf>
    <xf numFmtId="0" fontId="19" fillId="0" borderId="6" xfId="0" applyFont="1" applyBorder="1" applyAlignment="1">
      <alignment horizontal="center" vertical="center"/>
    </xf>
    <xf numFmtId="0" fontId="1" fillId="0" borderId="6" xfId="0" applyFont="1" applyBorder="1" applyAlignment="1">
      <alignment horizontal="center" vertical="center"/>
    </xf>
    <xf numFmtId="0" fontId="3" fillId="0" borderId="0" xfId="0" applyFont="1" applyAlignment="1">
      <alignment wrapText="1"/>
    </xf>
    <xf numFmtId="165" fontId="6" fillId="0" borderId="1" xfId="0" applyNumberFormat="1" applyFont="1" applyBorder="1" applyAlignment="1">
      <alignment horizontal="center"/>
    </xf>
    <xf numFmtId="0" fontId="1" fillId="0" borderId="0" xfId="0" applyFont="1" applyAlignment="1">
      <alignment horizontal="left"/>
    </xf>
    <xf numFmtId="0" fontId="8" fillId="0" borderId="1" xfId="0" applyFont="1" applyBorder="1" applyAlignment="1">
      <alignment horizontal="center" vertical="center" wrapText="1"/>
    </xf>
    <xf numFmtId="9" fontId="3" fillId="0" borderId="1" xfId="2" applyFont="1" applyBorder="1" applyAlignment="1">
      <alignment horizontal="center" vertical="center"/>
    </xf>
    <xf numFmtId="0" fontId="1" fillId="6" borderId="1" xfId="0" quotePrefix="1" applyFont="1" applyFill="1" applyBorder="1" applyAlignment="1">
      <alignment horizontal="center" vertical="center" wrapText="1"/>
    </xf>
    <xf numFmtId="0" fontId="1" fillId="6" borderId="1" xfId="0" applyFont="1" applyFill="1" applyBorder="1" applyAlignment="1">
      <alignment horizontal="center" vertical="center" wrapText="1"/>
    </xf>
    <xf numFmtId="9" fontId="3" fillId="6" borderId="1" xfId="0" applyNumberFormat="1" applyFont="1" applyFill="1" applyBorder="1" applyAlignment="1">
      <alignment horizontal="center" vertical="center"/>
    </xf>
    <xf numFmtId="9" fontId="3" fillId="6" borderId="1" xfId="2" applyFont="1" applyFill="1" applyBorder="1" applyAlignment="1">
      <alignment horizontal="center" vertical="center"/>
    </xf>
    <xf numFmtId="0" fontId="3" fillId="6" borderId="0" xfId="0" applyFont="1" applyFill="1" applyAlignment="1">
      <alignment horizontal="center" vertical="center"/>
    </xf>
    <xf numFmtId="10" fontId="3" fillId="6" borderId="1" xfId="2" applyNumberFormat="1"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xf>
    <xf numFmtId="10" fontId="3" fillId="0" borderId="1" xfId="2" applyNumberFormat="1" applyFont="1" applyBorder="1" applyAlignment="1">
      <alignment horizontal="center" vertical="center"/>
    </xf>
    <xf numFmtId="166" fontId="3" fillId="0" borderId="1" xfId="1" applyNumberFormat="1" applyFont="1" applyFill="1" applyBorder="1" applyAlignment="1">
      <alignment horizontal="center" vertical="center"/>
    </xf>
    <xf numFmtId="2" fontId="3" fillId="0" borderId="1" xfId="2" applyNumberFormat="1" applyFont="1" applyBorder="1" applyAlignment="1">
      <alignment horizontal="center" vertical="center"/>
    </xf>
    <xf numFmtId="168" fontId="3" fillId="0" borderId="1" xfId="0" applyNumberFormat="1" applyFont="1" applyBorder="1" applyAlignment="1">
      <alignment horizontal="center" vertical="center"/>
    </xf>
    <xf numFmtId="169" fontId="3" fillId="0" borderId="1" xfId="0" applyNumberFormat="1" applyFont="1" applyBorder="1" applyAlignment="1">
      <alignment horizontal="center" vertical="center"/>
    </xf>
    <xf numFmtId="0" fontId="6" fillId="0" borderId="12" xfId="0" applyFont="1" applyBorder="1" applyAlignment="1">
      <alignment horizontal="center" vertical="center" wrapText="1"/>
    </xf>
    <xf numFmtId="2" fontId="10" fillId="0" borderId="1" xfId="0" applyNumberFormat="1" applyFont="1" applyBorder="1" applyAlignment="1">
      <alignment horizontal="center" vertical="center" wrapText="1"/>
    </xf>
    <xf numFmtId="0" fontId="24" fillId="0" borderId="1" xfId="0" applyFont="1" applyBorder="1" applyAlignment="1">
      <alignment horizontal="center" vertical="center"/>
    </xf>
    <xf numFmtId="0" fontId="25" fillId="0" borderId="1" xfId="0" applyFont="1" applyBorder="1" applyAlignment="1">
      <alignment horizontal="center" vertical="center"/>
    </xf>
    <xf numFmtId="10" fontId="25" fillId="0" borderId="1" xfId="0" applyNumberFormat="1" applyFont="1" applyBorder="1" applyAlignment="1">
      <alignment horizontal="center" vertical="center"/>
    </xf>
    <xf numFmtId="9" fontId="25" fillId="0" borderId="1" xfId="0" applyNumberFormat="1" applyFont="1" applyBorder="1" applyAlignment="1">
      <alignment horizontal="center" vertical="center"/>
    </xf>
    <xf numFmtId="0" fontId="0" fillId="0" borderId="1" xfId="0" applyBorder="1" applyAlignment="1">
      <alignment horizontal="center"/>
    </xf>
    <xf numFmtId="2" fontId="3" fillId="0" borderId="1" xfId="2" applyNumberFormat="1" applyFont="1" applyFill="1" applyBorder="1" applyAlignment="1">
      <alignment horizontal="center" vertical="center"/>
    </xf>
    <xf numFmtId="0" fontId="1" fillId="0" borderId="1" xfId="0" applyFont="1" applyBorder="1" applyAlignment="1">
      <alignment vertical="center"/>
    </xf>
    <xf numFmtId="4" fontId="21" fillId="3" borderId="1" xfId="0" applyNumberFormat="1" applyFont="1" applyFill="1" applyBorder="1" applyAlignment="1">
      <alignment horizontal="center" vertical="center"/>
    </xf>
    <xf numFmtId="1" fontId="1" fillId="0" borderId="1" xfId="0" applyNumberFormat="1" applyFont="1" applyBorder="1" applyAlignment="1">
      <alignment horizontal="center" vertical="center"/>
    </xf>
    <xf numFmtId="0" fontId="1" fillId="0" borderId="0" xfId="0" applyFont="1" applyAlignment="1">
      <alignment horizontal="center" vertical="center"/>
    </xf>
    <xf numFmtId="2" fontId="22" fillId="0" borderId="1" xfId="0" applyNumberFormat="1" applyFont="1" applyBorder="1" applyAlignment="1">
      <alignment horizontal="center" vertical="center"/>
    </xf>
    <xf numFmtId="0" fontId="1" fillId="3" borderId="1" xfId="0" applyFont="1" applyFill="1" applyBorder="1" applyAlignment="1">
      <alignment horizontal="center" vertical="center"/>
    </xf>
    <xf numFmtId="0" fontId="0" fillId="0" borderId="14" xfId="0" applyBorder="1" applyAlignment="1">
      <alignment horizontal="left"/>
    </xf>
    <xf numFmtId="0" fontId="8" fillId="0" borderId="0" xfId="0" applyFont="1" applyAlignment="1">
      <alignment horizontal="center" vertical="center" wrapText="1"/>
    </xf>
    <xf numFmtId="0" fontId="16" fillId="0" borderId="1" xfId="0" applyFont="1" applyBorder="1" applyAlignment="1">
      <alignment horizontal="center" vertical="center" wrapText="1"/>
    </xf>
    <xf numFmtId="0" fontId="1" fillId="0" borderId="1" xfId="0" quotePrefix="1" applyFont="1" applyBorder="1" applyAlignment="1">
      <alignment horizontal="left" vertical="center" wrapText="1"/>
    </xf>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left"/>
    </xf>
    <xf numFmtId="0" fontId="6" fillId="0" borderId="0" xfId="0" applyFont="1" applyAlignment="1">
      <alignment horizontal="center"/>
    </xf>
    <xf numFmtId="0" fontId="3" fillId="0" borderId="0" xfId="0" applyFont="1" applyAlignment="1">
      <alignment horizontal="center"/>
    </xf>
    <xf numFmtId="0" fontId="1" fillId="0" borderId="1" xfId="0" applyFont="1" applyBorder="1" applyAlignment="1">
      <alignment horizontal="left" vertical="center" wrapText="1"/>
    </xf>
    <xf numFmtId="0" fontId="1" fillId="0" borderId="4" xfId="0" quotePrefix="1" applyFont="1" applyBorder="1" applyAlignment="1">
      <alignment horizontal="left"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0" fillId="0" borderId="1" xfId="0" applyBorder="1" applyAlignment="1">
      <alignment horizontal="left" vertical="center" wrapText="1"/>
    </xf>
    <xf numFmtId="0" fontId="1" fillId="0" borderId="2" xfId="0" quotePrefix="1" applyFont="1" applyBorder="1" applyAlignment="1">
      <alignment horizontal="center" vertical="center" wrapText="1"/>
    </xf>
    <xf numFmtId="0" fontId="1" fillId="0" borderId="3" xfId="0" quotePrefix="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4" fillId="0" borderId="2" xfId="0" quotePrefix="1" applyFont="1" applyBorder="1" applyAlignment="1">
      <alignment horizontal="center" vertical="center" wrapText="1"/>
    </xf>
    <xf numFmtId="0" fontId="4" fillId="0" borderId="5" xfId="0" quotePrefix="1" applyFont="1" applyBorder="1" applyAlignment="1">
      <alignment horizontal="center" vertical="center" wrapText="1"/>
    </xf>
    <xf numFmtId="0" fontId="7" fillId="5" borderId="0" xfId="0" applyFont="1" applyFill="1" applyAlignment="1">
      <alignment horizont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 fillId="0" borderId="5" xfId="0" quotePrefix="1"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 fillId="0" borderId="5" xfId="0" applyFont="1" applyBorder="1" applyAlignment="1">
      <alignment horizontal="center" vertical="center" wrapText="1"/>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quotePrefix="1" applyFont="1" applyBorder="1" applyAlignment="1">
      <alignment horizontal="center" vertical="center" wrapText="1"/>
    </xf>
    <xf numFmtId="0" fontId="3" fillId="0" borderId="1" xfId="0" quotePrefix="1" applyFont="1" applyBorder="1" applyAlignment="1">
      <alignment horizontal="center" vertical="center"/>
    </xf>
    <xf numFmtId="0" fontId="1" fillId="2" borderId="2"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3" xfId="0" applyFont="1" applyFill="1" applyBorder="1" applyAlignment="1">
      <alignment horizontal="left" vertical="center" wrapText="1"/>
    </xf>
    <xf numFmtId="0" fontId="0" fillId="2" borderId="3" xfId="0" applyFill="1" applyBorder="1" applyAlignment="1">
      <alignment horizontal="left" vertical="center" wrapText="1"/>
    </xf>
    <xf numFmtId="0" fontId="1" fillId="2" borderId="1" xfId="0" quotePrefix="1"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0" borderId="1" xfId="0" quotePrefix="1" applyFont="1" applyBorder="1" applyAlignment="1">
      <alignment horizontal="left" vertical="center" wrapText="1"/>
    </xf>
    <xf numFmtId="0" fontId="14" fillId="0" borderId="0" xfId="0" applyFont="1" applyAlignment="1">
      <alignment horizontal="center" vertical="center" wrapText="1"/>
    </xf>
    <xf numFmtId="0" fontId="1" fillId="0" borderId="1" xfId="0" applyFont="1" applyBorder="1" applyAlignment="1">
      <alignment vertical="center" wrapText="1"/>
    </xf>
    <xf numFmtId="0" fontId="1" fillId="0" borderId="5" xfId="0" applyFont="1" applyBorder="1" applyAlignment="1">
      <alignment horizontal="left" vertical="center" wrapText="1"/>
    </xf>
    <xf numFmtId="0" fontId="1" fillId="0" borderId="3" xfId="0" applyFont="1" applyBorder="1" applyAlignment="1">
      <alignment horizontal="left" vertical="center" wrapText="1"/>
    </xf>
    <xf numFmtId="0" fontId="1" fillId="0" borderId="5" xfId="0" quotePrefix="1" applyFont="1" applyBorder="1" applyAlignment="1">
      <alignment horizontal="left" vertical="center" wrapText="1"/>
    </xf>
    <xf numFmtId="0" fontId="1" fillId="0" borderId="3" xfId="0" quotePrefix="1" applyFont="1" applyBorder="1" applyAlignment="1">
      <alignment horizontal="left" vertical="center" wrapText="1"/>
    </xf>
    <xf numFmtId="0" fontId="0" fillId="0" borderId="1" xfId="0" applyBorder="1" applyAlignment="1">
      <alignment horizontal="center" vertical="center" wrapText="1"/>
    </xf>
  </cellXfs>
  <cellStyles count="3">
    <cellStyle name="Millares [0]" xfId="1" builtinId="6"/>
    <cellStyle name="Normal" xfId="0" builtinId="0"/>
    <cellStyle name="Porcentaje" xfId="2" builtinId="5"/>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499984740745262"/>
    <pageSetUpPr fitToPage="1"/>
  </sheetPr>
  <dimension ref="A2:S9"/>
  <sheetViews>
    <sheetView topLeftCell="A3" zoomScale="85" zoomScaleNormal="85" zoomScaleSheetLayoutView="80" workbookViewId="0">
      <selection activeCell="S9" sqref="S9"/>
    </sheetView>
  </sheetViews>
  <sheetFormatPr baseColWidth="10" defaultRowHeight="15" x14ac:dyDescent="0.25"/>
  <cols>
    <col min="1" max="1" width="4.140625" customWidth="1"/>
    <col min="2" max="2" width="14.140625" style="71" customWidth="1"/>
    <col min="3" max="3" width="6.85546875" customWidth="1"/>
    <col min="4" max="4" width="20.85546875" style="71" customWidth="1"/>
    <col min="5" max="5" width="9" customWidth="1"/>
    <col min="6" max="6" width="24.5703125" customWidth="1"/>
    <col min="7" max="7" width="22.7109375" customWidth="1"/>
    <col min="8" max="8" width="6.85546875" bestFit="1" customWidth="1"/>
    <col min="9" max="11" width="7.28515625" bestFit="1" customWidth="1"/>
    <col min="12" max="12" width="7" bestFit="1" customWidth="1"/>
    <col min="13" max="13" width="7.28515625" bestFit="1" customWidth="1"/>
    <col min="14" max="14" width="8" bestFit="1" customWidth="1"/>
    <col min="15" max="15" width="7.28515625" bestFit="1" customWidth="1"/>
    <col min="16" max="16" width="7.5703125" bestFit="1" customWidth="1"/>
    <col min="17" max="17" width="7.7109375" customWidth="1"/>
    <col min="18" max="18" width="7.28515625" customWidth="1"/>
  </cols>
  <sheetData>
    <row r="2" spans="1:19" ht="21" customHeight="1" x14ac:dyDescent="0.25">
      <c r="A2" s="154" t="s">
        <v>201</v>
      </c>
      <c r="B2" s="154"/>
      <c r="C2" s="154"/>
      <c r="D2" s="154"/>
      <c r="E2" s="154"/>
      <c r="F2" s="154"/>
      <c r="G2" s="154"/>
      <c r="H2" s="154"/>
      <c r="I2" s="154"/>
      <c r="J2" s="154"/>
      <c r="K2" s="154"/>
      <c r="L2" s="154"/>
      <c r="M2" s="154"/>
      <c r="N2" s="154"/>
    </row>
    <row r="4" spans="1:19" ht="75" customHeight="1" x14ac:dyDescent="0.25">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13">
        <v>2022</v>
      </c>
    </row>
    <row r="5" spans="1:19" ht="75" x14ac:dyDescent="0.25">
      <c r="A5" s="156" t="s">
        <v>100</v>
      </c>
      <c r="B5" s="157" t="s">
        <v>94</v>
      </c>
      <c r="C5" s="158" t="s">
        <v>3</v>
      </c>
      <c r="D5" s="155" t="s">
        <v>95</v>
      </c>
      <c r="E5" s="8" t="s">
        <v>3</v>
      </c>
      <c r="F5" s="27" t="s">
        <v>444</v>
      </c>
      <c r="G5" s="61" t="s">
        <v>379</v>
      </c>
      <c r="H5" s="145"/>
      <c r="I5" s="145"/>
      <c r="J5" s="145"/>
      <c r="K5" s="145"/>
      <c r="L5" s="145"/>
      <c r="M5" s="145"/>
      <c r="N5" s="145"/>
      <c r="O5" s="145"/>
      <c r="P5" s="54">
        <v>508</v>
      </c>
      <c r="Q5" s="54">
        <v>736</v>
      </c>
      <c r="R5" s="54">
        <v>1082</v>
      </c>
      <c r="S5" s="54">
        <v>1027</v>
      </c>
    </row>
    <row r="6" spans="1:19" s="80" customFormat="1" ht="90" x14ac:dyDescent="0.25">
      <c r="A6" s="156"/>
      <c r="B6" s="157"/>
      <c r="C6" s="157"/>
      <c r="D6" s="155"/>
      <c r="E6" s="8" t="s">
        <v>4</v>
      </c>
      <c r="F6" s="27" t="s">
        <v>96</v>
      </c>
      <c r="G6" s="61" t="s">
        <v>246</v>
      </c>
      <c r="H6" s="54"/>
      <c r="I6" s="54"/>
      <c r="J6" s="69">
        <v>1</v>
      </c>
      <c r="K6" s="69">
        <v>1</v>
      </c>
      <c r="L6" s="69">
        <v>1</v>
      </c>
      <c r="M6" s="69">
        <v>1</v>
      </c>
      <c r="N6" s="69">
        <v>1</v>
      </c>
      <c r="O6" s="69">
        <v>1</v>
      </c>
      <c r="P6" s="69">
        <v>1</v>
      </c>
      <c r="Q6" s="69">
        <v>1</v>
      </c>
      <c r="R6" s="69">
        <v>1</v>
      </c>
      <c r="S6" s="69">
        <v>1</v>
      </c>
    </row>
    <row r="7" spans="1:19" s="81" customFormat="1" ht="75" x14ac:dyDescent="0.25">
      <c r="A7" s="156"/>
      <c r="B7" s="157"/>
      <c r="C7" s="8" t="s">
        <v>4</v>
      </c>
      <c r="D7" s="102" t="s">
        <v>97</v>
      </c>
      <c r="E7" s="8" t="s">
        <v>5</v>
      </c>
      <c r="F7" s="27" t="s">
        <v>98</v>
      </c>
      <c r="G7" s="61" t="s">
        <v>247</v>
      </c>
      <c r="H7" s="54">
        <f>4/4*100</f>
        <v>100</v>
      </c>
      <c r="I7" s="54">
        <f>4/4*100</f>
        <v>100</v>
      </c>
      <c r="J7" s="54">
        <f>4/4*100</f>
        <v>100</v>
      </c>
      <c r="K7" s="54">
        <f>4/4+100</f>
        <v>101</v>
      </c>
      <c r="L7" s="54">
        <v>100</v>
      </c>
      <c r="M7" s="54">
        <v>100</v>
      </c>
      <c r="N7" s="54">
        <f>SUM(4/4)*100</f>
        <v>100</v>
      </c>
      <c r="O7" s="54">
        <v>100</v>
      </c>
      <c r="P7" s="54">
        <v>100</v>
      </c>
      <c r="Q7" s="54">
        <v>100</v>
      </c>
      <c r="R7" s="54">
        <v>100</v>
      </c>
      <c r="S7" s="54">
        <v>100</v>
      </c>
    </row>
    <row r="8" spans="1:19" s="80" customFormat="1" ht="90" x14ac:dyDescent="0.25">
      <c r="A8" s="156"/>
      <c r="B8" s="157"/>
      <c r="C8" s="8" t="s">
        <v>5</v>
      </c>
      <c r="D8" s="102" t="s">
        <v>99</v>
      </c>
      <c r="E8" s="8" t="s">
        <v>6</v>
      </c>
      <c r="F8" s="27" t="s">
        <v>450</v>
      </c>
      <c r="G8" s="61" t="s">
        <v>416</v>
      </c>
      <c r="H8" s="54"/>
      <c r="I8" s="61"/>
      <c r="J8" s="61"/>
      <c r="K8" s="61">
        <v>58</v>
      </c>
      <c r="L8" s="113">
        <v>25.0727436903545</v>
      </c>
      <c r="M8" s="55" t="s">
        <v>303</v>
      </c>
      <c r="N8" s="113">
        <v>65.024940353700899</v>
      </c>
      <c r="O8" s="63">
        <v>58.834141680794801</v>
      </c>
      <c r="P8" s="54">
        <v>70.69</v>
      </c>
      <c r="Q8" s="61">
        <v>59.42</v>
      </c>
      <c r="R8" s="54">
        <v>64.3</v>
      </c>
      <c r="S8" s="54">
        <v>71.8</v>
      </c>
    </row>
    <row r="9" spans="1:19" x14ac:dyDescent="0.25">
      <c r="B9" s="153" t="s">
        <v>429</v>
      </c>
      <c r="C9" s="153"/>
      <c r="D9" s="153"/>
      <c r="E9" s="153"/>
      <c r="F9" s="153"/>
      <c r="G9" s="153"/>
      <c r="H9" s="153"/>
      <c r="I9" s="153"/>
      <c r="J9" s="153"/>
      <c r="K9" s="153"/>
      <c r="L9" s="153"/>
      <c r="M9" s="153"/>
      <c r="N9" s="153"/>
      <c r="O9" s="153"/>
      <c r="P9" s="153"/>
      <c r="Q9" s="153"/>
      <c r="R9" s="153"/>
    </row>
  </sheetData>
  <mergeCells count="6">
    <mergeCell ref="B9:R9"/>
    <mergeCell ref="A2:N2"/>
    <mergeCell ref="D5:D6"/>
    <mergeCell ref="A5:A8"/>
    <mergeCell ref="B5:B8"/>
    <mergeCell ref="C5:C6"/>
  </mergeCells>
  <phoneticPr fontId="5" type="noConversion"/>
  <printOptions horizontalCentered="1" verticalCentered="1"/>
  <pageMargins left="0.25" right="0.25" top="0.75" bottom="0.75" header="0.3" footer="0.3"/>
  <pageSetup paperSize="5" scale="9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499984740745262"/>
  </sheetPr>
  <dimension ref="A2:S27"/>
  <sheetViews>
    <sheetView topLeftCell="E7" zoomScaleNormal="100" zoomScaleSheetLayoutView="90" workbookViewId="0">
      <selection activeCell="T12" sqref="T12"/>
    </sheetView>
  </sheetViews>
  <sheetFormatPr baseColWidth="10" defaultRowHeight="12.75" x14ac:dyDescent="0.2"/>
  <cols>
    <col min="1" max="1" width="5.7109375" style="1" bestFit="1" customWidth="1"/>
    <col min="2" max="2" width="15.140625" style="1" customWidth="1"/>
    <col min="3" max="3" width="8.140625" style="58" bestFit="1" customWidth="1"/>
    <col min="4" max="4" width="26.7109375" style="1" customWidth="1"/>
    <col min="5" max="5" width="14.28515625" style="1" customWidth="1"/>
    <col min="6" max="6" width="39.5703125" style="1" customWidth="1"/>
    <col min="7" max="7" width="22.42578125" style="1" customWidth="1"/>
    <col min="8" max="18" width="7.42578125" style="1" bestFit="1" customWidth="1"/>
    <col min="19" max="19" width="6.7109375" style="1" bestFit="1" customWidth="1"/>
    <col min="20" max="16384" width="11.42578125" style="1"/>
  </cols>
  <sheetData>
    <row r="2" spans="1:19" ht="21.75" customHeight="1" x14ac:dyDescent="0.2">
      <c r="A2" s="159" t="s">
        <v>201</v>
      </c>
      <c r="B2" s="159"/>
      <c r="C2" s="159"/>
      <c r="D2" s="159"/>
      <c r="E2" s="159"/>
      <c r="F2" s="159"/>
      <c r="G2" s="159"/>
      <c r="H2" s="159"/>
      <c r="I2" s="159"/>
      <c r="J2" s="159"/>
      <c r="K2" s="159"/>
      <c r="L2" s="159"/>
      <c r="M2" s="159"/>
    </row>
    <row r="4" spans="1:19" ht="66" customHeight="1" x14ac:dyDescent="0.2">
      <c r="A4" s="12" t="s">
        <v>51</v>
      </c>
      <c r="B4" s="13" t="s">
        <v>52</v>
      </c>
      <c r="C4" s="12" t="s">
        <v>72</v>
      </c>
      <c r="D4" s="13" t="s">
        <v>73</v>
      </c>
      <c r="E4" s="72" t="s">
        <v>74</v>
      </c>
      <c r="F4" s="13" t="s">
        <v>75</v>
      </c>
      <c r="G4" s="13" t="s">
        <v>196</v>
      </c>
      <c r="H4" s="13">
        <v>2011</v>
      </c>
      <c r="I4" s="13">
        <v>2012</v>
      </c>
      <c r="J4" s="13">
        <v>2013</v>
      </c>
      <c r="K4" s="13">
        <v>2014</v>
      </c>
      <c r="L4" s="13">
        <v>2015</v>
      </c>
      <c r="M4" s="13">
        <v>2016</v>
      </c>
      <c r="N4" s="13">
        <v>2017</v>
      </c>
      <c r="O4" s="13">
        <v>2018</v>
      </c>
      <c r="P4" s="13">
        <v>2019</v>
      </c>
      <c r="Q4" s="13">
        <v>2020</v>
      </c>
      <c r="R4" s="13">
        <v>2021</v>
      </c>
      <c r="S4" s="13">
        <v>2022</v>
      </c>
    </row>
    <row r="5" spans="1:19" ht="38.25" x14ac:dyDescent="0.2">
      <c r="A5" s="157">
        <v>19</v>
      </c>
      <c r="B5" s="157" t="s">
        <v>140</v>
      </c>
      <c r="C5" s="8" t="s">
        <v>3</v>
      </c>
      <c r="D5" s="27" t="s">
        <v>141</v>
      </c>
      <c r="E5" s="8"/>
      <c r="F5" s="27" t="s">
        <v>425</v>
      </c>
      <c r="G5" s="27" t="s">
        <v>426</v>
      </c>
      <c r="H5" s="67">
        <v>70.3</v>
      </c>
      <c r="I5" s="95">
        <v>69.349999999999994</v>
      </c>
      <c r="J5" s="95">
        <v>90.28</v>
      </c>
      <c r="K5" s="67">
        <v>93.7</v>
      </c>
      <c r="L5" s="67">
        <v>93.24</v>
      </c>
      <c r="M5" s="67">
        <v>76.75</v>
      </c>
      <c r="N5" s="95">
        <v>89.5</v>
      </c>
      <c r="O5" s="150">
        <v>90.2</v>
      </c>
      <c r="P5" s="95">
        <v>92.3</v>
      </c>
      <c r="Q5" s="95">
        <v>84.54</v>
      </c>
      <c r="R5" s="95">
        <v>91.26</v>
      </c>
      <c r="S5" s="95">
        <v>90.72</v>
      </c>
    </row>
    <row r="6" spans="1:19" ht="38.25" x14ac:dyDescent="0.2">
      <c r="A6" s="157"/>
      <c r="B6" s="157"/>
      <c r="C6" s="8" t="s">
        <v>4</v>
      </c>
      <c r="D6" s="27" t="s">
        <v>142</v>
      </c>
      <c r="E6" s="8"/>
      <c r="F6" s="27" t="s">
        <v>293</v>
      </c>
      <c r="G6" s="31"/>
      <c r="H6" s="95">
        <v>79.59</v>
      </c>
      <c r="I6" s="151">
        <v>90.23</v>
      </c>
      <c r="J6" s="151">
        <v>83.61</v>
      </c>
      <c r="K6" s="151">
        <v>90.36333333333333</v>
      </c>
      <c r="L6" s="151">
        <v>80.199999999999989</v>
      </c>
      <c r="M6" s="151">
        <v>84.513315450429786</v>
      </c>
      <c r="N6" s="151">
        <v>53.487487204069261</v>
      </c>
      <c r="O6" s="95"/>
      <c r="P6" s="95"/>
      <c r="Q6" s="95"/>
      <c r="R6" s="95"/>
      <c r="S6" s="95"/>
    </row>
    <row r="7" spans="1:19" ht="51" x14ac:dyDescent="0.2">
      <c r="A7" s="157"/>
      <c r="B7" s="157"/>
      <c r="C7" s="8" t="s">
        <v>5</v>
      </c>
      <c r="D7" s="27" t="s">
        <v>143</v>
      </c>
      <c r="E7" s="8"/>
      <c r="F7" s="27" t="s">
        <v>428</v>
      </c>
      <c r="G7" s="27" t="s">
        <v>286</v>
      </c>
      <c r="H7" s="95">
        <v>65.97</v>
      </c>
      <c r="I7" s="95">
        <v>59.61</v>
      </c>
      <c r="J7" s="95">
        <v>53.95</v>
      </c>
      <c r="K7" s="95">
        <v>50.29</v>
      </c>
      <c r="L7" s="151">
        <v>59.43</v>
      </c>
      <c r="M7" s="151">
        <v>47.66</v>
      </c>
      <c r="N7" s="151">
        <v>50.15</v>
      </c>
      <c r="O7" s="152">
        <v>33.9</v>
      </c>
      <c r="P7" s="150">
        <v>32.369999999999997</v>
      </c>
      <c r="Q7" s="95">
        <v>19.37</v>
      </c>
      <c r="R7" s="95">
        <v>40.380000000000003</v>
      </c>
      <c r="S7" s="95">
        <v>36</v>
      </c>
    </row>
    <row r="8" spans="1:19" ht="25.5" x14ac:dyDescent="0.2">
      <c r="A8" s="157"/>
      <c r="B8" s="157"/>
      <c r="C8" s="8" t="s">
        <v>6</v>
      </c>
      <c r="D8" s="27" t="s">
        <v>144</v>
      </c>
      <c r="E8" s="8"/>
      <c r="F8" s="27" t="s">
        <v>287</v>
      </c>
      <c r="G8" s="32" t="s">
        <v>288</v>
      </c>
      <c r="H8" s="95">
        <v>37.479999999999997</v>
      </c>
      <c r="I8" s="95">
        <v>45.25</v>
      </c>
      <c r="J8" s="95">
        <v>50.93</v>
      </c>
      <c r="K8" s="95">
        <v>51.83</v>
      </c>
      <c r="L8" s="95">
        <v>45.64</v>
      </c>
      <c r="M8" s="95">
        <v>48.43</v>
      </c>
      <c r="N8" s="95">
        <v>55.42</v>
      </c>
      <c r="O8" s="95">
        <v>45.68</v>
      </c>
      <c r="P8" s="95">
        <v>55.07</v>
      </c>
      <c r="Q8" s="95">
        <v>37.380000000000003</v>
      </c>
      <c r="R8" s="95">
        <v>56.43</v>
      </c>
      <c r="S8" s="95">
        <v>70</v>
      </c>
    </row>
    <row r="9" spans="1:19" ht="30.75" customHeight="1" x14ac:dyDescent="0.2">
      <c r="A9" s="157"/>
      <c r="B9" s="157"/>
      <c r="C9" s="8" t="s">
        <v>10</v>
      </c>
      <c r="D9" s="27" t="s">
        <v>145</v>
      </c>
      <c r="E9" s="8"/>
      <c r="F9" s="27"/>
      <c r="G9" s="31"/>
      <c r="H9" s="98"/>
      <c r="I9" s="98">
        <f>1/1*100</f>
        <v>100</v>
      </c>
      <c r="J9" s="98">
        <f>1/1*100</f>
        <v>100</v>
      </c>
      <c r="K9" s="98">
        <f>1/1*100</f>
        <v>100</v>
      </c>
      <c r="L9" s="98">
        <v>100</v>
      </c>
      <c r="M9" s="98">
        <v>100</v>
      </c>
      <c r="N9" s="98"/>
      <c r="O9" s="98"/>
      <c r="P9" s="98"/>
      <c r="Q9" s="98"/>
      <c r="R9" s="98"/>
      <c r="S9" s="98"/>
    </row>
    <row r="10" spans="1:19" ht="34.5" customHeight="1" x14ac:dyDescent="0.2">
      <c r="A10" s="157"/>
      <c r="B10" s="157"/>
      <c r="C10" s="8" t="s">
        <v>11</v>
      </c>
      <c r="D10" s="27" t="s">
        <v>146</v>
      </c>
      <c r="E10" s="8"/>
      <c r="F10" s="27" t="s">
        <v>289</v>
      </c>
      <c r="G10" s="95" t="s">
        <v>290</v>
      </c>
      <c r="H10" s="95">
        <v>81.69</v>
      </c>
      <c r="I10" s="95">
        <v>81.98</v>
      </c>
      <c r="J10" s="95">
        <v>85.15</v>
      </c>
      <c r="K10" s="95">
        <v>85.25</v>
      </c>
      <c r="L10" s="95">
        <v>83</v>
      </c>
      <c r="M10" s="95">
        <v>81.11</v>
      </c>
      <c r="N10" s="95">
        <v>83.64</v>
      </c>
      <c r="O10" s="95">
        <v>81.22</v>
      </c>
      <c r="P10" s="95">
        <v>31.53</v>
      </c>
      <c r="Q10" s="95">
        <v>38.08</v>
      </c>
      <c r="R10" s="95">
        <v>17.899999999999999</v>
      </c>
      <c r="S10" s="95">
        <v>2.7</v>
      </c>
    </row>
    <row r="11" spans="1:19" s="105" customFormat="1" ht="18" customHeight="1" x14ac:dyDescent="0.2">
      <c r="A11" s="157"/>
      <c r="B11" s="157"/>
      <c r="C11" s="8" t="s">
        <v>13</v>
      </c>
      <c r="D11" s="27" t="s">
        <v>147</v>
      </c>
      <c r="E11" s="8" t="s">
        <v>3</v>
      </c>
      <c r="F11" s="27" t="s">
        <v>148</v>
      </c>
      <c r="G11" s="28"/>
      <c r="H11" s="95">
        <v>70.61</v>
      </c>
      <c r="I11" s="95">
        <v>72.849999999999994</v>
      </c>
      <c r="J11" s="95">
        <v>72.45</v>
      </c>
      <c r="K11" s="67">
        <v>73.3</v>
      </c>
      <c r="L11" s="67">
        <v>73.53</v>
      </c>
      <c r="M11" s="67">
        <v>71.650000000000006</v>
      </c>
      <c r="N11" s="95">
        <v>74.430000000000007</v>
      </c>
      <c r="O11" s="95">
        <v>57.67</v>
      </c>
      <c r="P11" s="95">
        <v>58.61</v>
      </c>
      <c r="Q11" s="95">
        <v>54.07</v>
      </c>
      <c r="R11" s="95">
        <v>52.35</v>
      </c>
      <c r="S11" s="95">
        <v>47.2</v>
      </c>
    </row>
    <row r="12" spans="1:19" s="105" customFormat="1" ht="25.5" x14ac:dyDescent="0.2">
      <c r="A12" s="157"/>
      <c r="B12" s="157"/>
      <c r="C12" s="8" t="s">
        <v>14</v>
      </c>
      <c r="D12" s="27" t="s">
        <v>149</v>
      </c>
      <c r="E12" s="8" t="s">
        <v>4</v>
      </c>
      <c r="F12" s="27" t="s">
        <v>424</v>
      </c>
      <c r="G12" s="28"/>
      <c r="H12" s="95">
        <v>73.19</v>
      </c>
      <c r="I12" s="95">
        <v>74.87</v>
      </c>
      <c r="J12" s="95">
        <v>78.02</v>
      </c>
      <c r="K12" s="67">
        <v>81.400000000000006</v>
      </c>
      <c r="L12" s="67">
        <v>81.19</v>
      </c>
      <c r="M12" s="67">
        <v>56.26</v>
      </c>
      <c r="N12" s="67">
        <v>52.22</v>
      </c>
      <c r="O12" s="95">
        <v>62.45</v>
      </c>
      <c r="P12" s="95">
        <v>68.83</v>
      </c>
      <c r="Q12" s="95">
        <v>64.08</v>
      </c>
      <c r="R12" s="95">
        <v>70.45</v>
      </c>
      <c r="S12" s="95">
        <v>64.239999999999995</v>
      </c>
    </row>
    <row r="13" spans="1:19" s="105" customFormat="1" ht="31.5" customHeight="1" x14ac:dyDescent="0.2">
      <c r="A13" s="157"/>
      <c r="B13" s="157"/>
      <c r="C13" s="158" t="s">
        <v>15</v>
      </c>
      <c r="D13" s="157" t="s">
        <v>150</v>
      </c>
      <c r="E13" s="8" t="s">
        <v>5</v>
      </c>
      <c r="F13" s="27" t="s">
        <v>151</v>
      </c>
      <c r="G13" s="28"/>
      <c r="H13" s="95"/>
      <c r="I13" s="149">
        <f>29/29*100</f>
        <v>100</v>
      </c>
      <c r="J13" s="149">
        <f>29/29*100</f>
        <v>100</v>
      </c>
      <c r="K13" s="149">
        <f>5/5*100</f>
        <v>100</v>
      </c>
      <c r="L13" s="67">
        <v>61.6</v>
      </c>
      <c r="M13" s="149">
        <v>100</v>
      </c>
      <c r="N13" s="95"/>
      <c r="O13" s="95">
        <v>64.7</v>
      </c>
      <c r="P13" s="95">
        <v>64.2</v>
      </c>
      <c r="Q13" s="117">
        <v>61</v>
      </c>
      <c r="R13" s="95">
        <v>67.5</v>
      </c>
      <c r="S13" s="95">
        <v>86</v>
      </c>
    </row>
    <row r="14" spans="1:19" s="122" customFormat="1" x14ac:dyDescent="0.2">
      <c r="A14" s="157"/>
      <c r="B14" s="157"/>
      <c r="C14" s="158"/>
      <c r="D14" s="157"/>
      <c r="E14" s="8" t="s">
        <v>6</v>
      </c>
      <c r="F14" s="118" t="s">
        <v>427</v>
      </c>
      <c r="G14" s="28"/>
      <c r="H14" s="95"/>
      <c r="I14" s="67">
        <f>2/3*100</f>
        <v>66.666666666666657</v>
      </c>
      <c r="J14" s="149">
        <f>10/10*100</f>
        <v>100</v>
      </c>
      <c r="K14" s="149">
        <f>18/18*100</f>
        <v>100</v>
      </c>
      <c r="L14" s="67"/>
      <c r="M14" s="67"/>
      <c r="N14" s="95">
        <v>66.8</v>
      </c>
      <c r="O14" s="95">
        <v>62.2</v>
      </c>
      <c r="P14" s="95">
        <v>64.2</v>
      </c>
      <c r="Q14" s="119">
        <v>61</v>
      </c>
      <c r="R14" s="95">
        <v>68.599999999999994</v>
      </c>
      <c r="S14" s="95">
        <v>80.8</v>
      </c>
    </row>
    <row r="15" spans="1:19" ht="20.25" x14ac:dyDescent="0.3">
      <c r="D15" s="116" t="s">
        <v>452</v>
      </c>
    </row>
    <row r="16" spans="1:19" ht="20.25" x14ac:dyDescent="0.3">
      <c r="D16" s="116" t="s">
        <v>423</v>
      </c>
    </row>
    <row r="21" spans="1:4" x14ac:dyDescent="0.2">
      <c r="A21" s="161"/>
      <c r="B21" s="161"/>
      <c r="C21" s="161"/>
      <c r="D21" s="161"/>
    </row>
    <row r="22" spans="1:4" x14ac:dyDescent="0.2">
      <c r="A22" s="162"/>
      <c r="B22" s="162"/>
      <c r="C22" s="162"/>
      <c r="D22" s="162"/>
    </row>
    <row r="25" spans="1:4" x14ac:dyDescent="0.2">
      <c r="A25" s="160"/>
      <c r="B25" s="160"/>
      <c r="C25" s="160"/>
      <c r="D25" s="160"/>
    </row>
    <row r="26" spans="1:4" x14ac:dyDescent="0.2">
      <c r="A26" s="160"/>
      <c r="B26" s="160"/>
      <c r="C26" s="160"/>
      <c r="D26" s="160"/>
    </row>
    <row r="27" spans="1:4" x14ac:dyDescent="0.2">
      <c r="A27" s="160"/>
      <c r="B27" s="160"/>
      <c r="C27" s="160"/>
      <c r="D27" s="160"/>
    </row>
  </sheetData>
  <mergeCells count="10">
    <mergeCell ref="A2:M2"/>
    <mergeCell ref="A26:D26"/>
    <mergeCell ref="A27:D27"/>
    <mergeCell ref="A21:D21"/>
    <mergeCell ref="A22:D22"/>
    <mergeCell ref="A25:D25"/>
    <mergeCell ref="D13:D14"/>
    <mergeCell ref="A5:A14"/>
    <mergeCell ref="B5:B14"/>
    <mergeCell ref="C13:C14"/>
  </mergeCells>
  <phoneticPr fontId="5" type="noConversion"/>
  <printOptions horizontalCentered="1" verticalCentered="1"/>
  <pageMargins left="0.31496062992125984" right="0.31496062992125984" top="0.74803149606299213" bottom="0.74803149606299213" header="0.31496062992125984" footer="0.31496062992125984"/>
  <pageSetup paperSize="5" scale="6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499984740745262"/>
  </sheetPr>
  <dimension ref="A2:S13"/>
  <sheetViews>
    <sheetView topLeftCell="F8" zoomScale="115" zoomScaleNormal="115" zoomScaleSheetLayoutView="80" workbookViewId="0">
      <selection activeCell="O14" sqref="O14"/>
    </sheetView>
  </sheetViews>
  <sheetFormatPr baseColWidth="10" defaultRowHeight="12.75" x14ac:dyDescent="0.2"/>
  <cols>
    <col min="1" max="1" width="5.7109375" style="1" bestFit="1" customWidth="1"/>
    <col min="2" max="2" width="11.28515625" style="1" bestFit="1" customWidth="1"/>
    <col min="3" max="3" width="8.5703125" style="1" bestFit="1" customWidth="1"/>
    <col min="4" max="4" width="25.140625" style="120" customWidth="1"/>
    <col min="5" max="5" width="8.5703125" style="1" bestFit="1" customWidth="1"/>
    <col min="6" max="6" width="25.7109375" style="1" bestFit="1" customWidth="1"/>
    <col min="7" max="7" width="45.28515625" style="1" customWidth="1"/>
    <col min="8" max="12" width="6" style="1" bestFit="1" customWidth="1"/>
    <col min="13" max="16" width="7.140625" style="1" bestFit="1" customWidth="1"/>
    <col min="17" max="17" width="6" style="1" bestFit="1" customWidth="1"/>
    <col min="18" max="18" width="7.140625" style="1" bestFit="1" customWidth="1"/>
    <col min="19" max="19" width="8.42578125" style="1" customWidth="1"/>
    <col min="20" max="16384" width="11.42578125" style="1"/>
  </cols>
  <sheetData>
    <row r="2" spans="1:19" ht="21.75" customHeight="1" x14ac:dyDescent="0.2">
      <c r="A2" s="159" t="s">
        <v>201</v>
      </c>
      <c r="B2" s="159"/>
      <c r="C2" s="159"/>
      <c r="D2" s="159"/>
      <c r="E2" s="159"/>
      <c r="F2" s="159"/>
      <c r="G2" s="159"/>
      <c r="H2" s="159"/>
      <c r="I2" s="159"/>
      <c r="J2" s="159"/>
      <c r="K2" s="159"/>
      <c r="L2" s="159"/>
      <c r="M2" s="159"/>
    </row>
    <row r="4" spans="1:19" s="91" customFormat="1" ht="71.25" customHeight="1" x14ac:dyDescent="0.2">
      <c r="A4" s="89" t="s">
        <v>51</v>
      </c>
      <c r="B4" s="90" t="s">
        <v>52</v>
      </c>
      <c r="C4" s="89" t="s">
        <v>72</v>
      </c>
      <c r="D4" s="90" t="s">
        <v>73</v>
      </c>
      <c r="E4" s="89" t="s">
        <v>74</v>
      </c>
      <c r="F4" s="90" t="s">
        <v>75</v>
      </c>
      <c r="G4" s="90" t="s">
        <v>196</v>
      </c>
      <c r="H4" s="90">
        <v>2011</v>
      </c>
      <c r="I4" s="90">
        <v>2012</v>
      </c>
      <c r="J4" s="90">
        <v>2013</v>
      </c>
      <c r="K4" s="90">
        <v>2014</v>
      </c>
      <c r="L4" s="90">
        <v>2015</v>
      </c>
      <c r="M4" s="90">
        <v>2016</v>
      </c>
      <c r="N4" s="90">
        <v>2017</v>
      </c>
      <c r="O4" s="90">
        <v>2018</v>
      </c>
      <c r="P4" s="90">
        <v>2019</v>
      </c>
      <c r="Q4" s="90">
        <v>2020</v>
      </c>
      <c r="R4" s="90">
        <v>2021</v>
      </c>
      <c r="S4" s="90">
        <v>2022</v>
      </c>
    </row>
    <row r="5" spans="1:19" s="2" customFormat="1" ht="40.5" customHeight="1" x14ac:dyDescent="0.2">
      <c r="A5" s="158" t="s">
        <v>199</v>
      </c>
      <c r="B5" s="157" t="s">
        <v>120</v>
      </c>
      <c r="C5" s="158" t="s">
        <v>3</v>
      </c>
      <c r="D5" s="157" t="s">
        <v>121</v>
      </c>
      <c r="E5" s="8" t="s">
        <v>3</v>
      </c>
      <c r="F5" s="27" t="s">
        <v>152</v>
      </c>
      <c r="G5" s="27" t="s">
        <v>257</v>
      </c>
      <c r="H5" s="53" t="s">
        <v>303</v>
      </c>
      <c r="I5" s="65">
        <f>6/43*100</f>
        <v>13.953488372093023</v>
      </c>
      <c r="J5" s="65">
        <f>3/42*100</f>
        <v>7.1428571428571423</v>
      </c>
      <c r="K5" s="65">
        <f>0/43*100</f>
        <v>0</v>
      </c>
      <c r="L5" s="65">
        <v>3.4</v>
      </c>
      <c r="M5" s="65">
        <v>3.9</v>
      </c>
      <c r="N5" s="64">
        <v>4.16</v>
      </c>
      <c r="O5" s="64">
        <v>13.04</v>
      </c>
      <c r="P5" s="64">
        <v>7.69</v>
      </c>
      <c r="Q5" s="64">
        <v>7.14</v>
      </c>
      <c r="R5" s="64">
        <v>0</v>
      </c>
      <c r="S5" s="67">
        <v>3.2967032967033001</v>
      </c>
    </row>
    <row r="6" spans="1:19" s="2" customFormat="1" ht="45.75" customHeight="1" x14ac:dyDescent="0.2">
      <c r="A6" s="158"/>
      <c r="B6" s="157"/>
      <c r="C6" s="158"/>
      <c r="D6" s="157"/>
      <c r="E6" s="8" t="s">
        <v>4</v>
      </c>
      <c r="F6" s="27" t="s">
        <v>299</v>
      </c>
      <c r="G6" s="27" t="s">
        <v>300</v>
      </c>
      <c r="H6" s="64">
        <v>2.27</v>
      </c>
      <c r="I6" s="64">
        <v>4.53</v>
      </c>
      <c r="J6" s="64">
        <v>2.2599999999999998</v>
      </c>
      <c r="K6" s="65">
        <v>0</v>
      </c>
      <c r="L6" s="65">
        <v>1.49</v>
      </c>
      <c r="M6" s="65">
        <v>1.48</v>
      </c>
      <c r="N6" s="65">
        <v>22.19</v>
      </c>
      <c r="O6" s="65">
        <v>22.09</v>
      </c>
      <c r="P6" s="65">
        <v>7.34</v>
      </c>
      <c r="Q6" s="65">
        <v>7.32</v>
      </c>
      <c r="R6" s="64">
        <v>0</v>
      </c>
      <c r="S6" s="65">
        <v>29.185718455102634</v>
      </c>
    </row>
    <row r="7" spans="1:19" s="2" customFormat="1" ht="48" customHeight="1" x14ac:dyDescent="0.2">
      <c r="A7" s="158"/>
      <c r="B7" s="157"/>
      <c r="C7" s="158"/>
      <c r="D7" s="157"/>
      <c r="E7" s="8" t="s">
        <v>6</v>
      </c>
      <c r="F7" s="27" t="s">
        <v>122</v>
      </c>
      <c r="G7" s="27" t="s">
        <v>451</v>
      </c>
      <c r="H7" s="65">
        <v>40.896697970312033</v>
      </c>
      <c r="I7" s="65">
        <v>18.863653512412284</v>
      </c>
      <c r="J7" s="65">
        <v>23.304766200571343</v>
      </c>
      <c r="K7" s="65">
        <v>28.453762635716959</v>
      </c>
      <c r="L7" s="67">
        <v>23.85</v>
      </c>
      <c r="M7" s="67">
        <v>30.44</v>
      </c>
      <c r="N7" s="67">
        <v>37.721893491124263</v>
      </c>
      <c r="O7" s="67">
        <v>54.69</v>
      </c>
      <c r="P7" s="67">
        <v>49.36</v>
      </c>
      <c r="Q7" s="67">
        <v>20.39</v>
      </c>
      <c r="R7" s="67">
        <v>36.27569528415961</v>
      </c>
      <c r="S7" s="67">
        <v>28.63</v>
      </c>
    </row>
    <row r="8" spans="1:19" s="2" customFormat="1" ht="40.5" customHeight="1" x14ac:dyDescent="0.2">
      <c r="A8" s="158"/>
      <c r="B8" s="157"/>
      <c r="C8" s="158"/>
      <c r="D8" s="157"/>
      <c r="E8" s="8" t="s">
        <v>7</v>
      </c>
      <c r="F8" s="27" t="s">
        <v>153</v>
      </c>
      <c r="G8" s="64" t="s">
        <v>251</v>
      </c>
      <c r="H8" s="64">
        <v>16</v>
      </c>
      <c r="I8" s="64">
        <v>8</v>
      </c>
      <c r="J8" s="64">
        <v>19</v>
      </c>
      <c r="K8" s="64">
        <v>15</v>
      </c>
      <c r="L8" s="64">
        <v>23</v>
      </c>
      <c r="M8" s="64">
        <v>12</v>
      </c>
      <c r="N8" s="66">
        <v>14</v>
      </c>
      <c r="O8" s="66">
        <v>17</v>
      </c>
      <c r="P8" s="66">
        <v>0</v>
      </c>
      <c r="Q8" s="66">
        <v>0</v>
      </c>
      <c r="R8" s="64">
        <v>24</v>
      </c>
      <c r="S8" s="64">
        <v>13</v>
      </c>
    </row>
    <row r="9" spans="1:19" s="2" customFormat="1" ht="51.75" customHeight="1" x14ac:dyDescent="0.2">
      <c r="A9" s="158"/>
      <c r="B9" s="157"/>
      <c r="C9" s="158"/>
      <c r="D9" s="157"/>
      <c r="E9" s="8" t="s">
        <v>8</v>
      </c>
      <c r="F9" s="27" t="s">
        <v>371</v>
      </c>
      <c r="G9" s="87" t="s">
        <v>373</v>
      </c>
      <c r="H9" s="53" t="s">
        <v>303</v>
      </c>
      <c r="I9" s="53" t="s">
        <v>303</v>
      </c>
      <c r="J9" s="53" t="s">
        <v>303</v>
      </c>
      <c r="K9" s="53" t="s">
        <v>303</v>
      </c>
      <c r="L9" s="92">
        <v>156</v>
      </c>
      <c r="M9" s="92">
        <v>65</v>
      </c>
      <c r="N9" s="92">
        <v>68</v>
      </c>
      <c r="O9" s="92">
        <v>49.7</v>
      </c>
      <c r="P9" s="92">
        <v>16</v>
      </c>
      <c r="Q9" s="92">
        <v>48</v>
      </c>
      <c r="R9" s="92">
        <v>224.8</v>
      </c>
      <c r="S9" s="92">
        <v>239.8</v>
      </c>
    </row>
    <row r="10" spans="1:19" ht="38.25" x14ac:dyDescent="0.2">
      <c r="A10" s="158"/>
      <c r="B10" s="157"/>
      <c r="C10" s="158"/>
      <c r="D10" s="157"/>
      <c r="E10" s="86" t="s">
        <v>9</v>
      </c>
      <c r="F10" s="27" t="s">
        <v>372</v>
      </c>
      <c r="G10" s="32" t="s">
        <v>374</v>
      </c>
      <c r="H10" s="53" t="s">
        <v>303</v>
      </c>
      <c r="I10" s="53" t="s">
        <v>303</v>
      </c>
      <c r="J10" s="53" t="s">
        <v>303</v>
      </c>
      <c r="K10" s="53" t="s">
        <v>303</v>
      </c>
      <c r="L10" s="92">
        <v>218</v>
      </c>
      <c r="M10" s="92">
        <v>130</v>
      </c>
      <c r="N10" s="92">
        <v>135</v>
      </c>
      <c r="O10" s="92">
        <v>132.6</v>
      </c>
      <c r="P10" s="92">
        <v>148.1</v>
      </c>
      <c r="Q10" s="92">
        <v>137.5</v>
      </c>
      <c r="R10" s="92">
        <v>152.5</v>
      </c>
      <c r="S10" s="92">
        <v>183.9</v>
      </c>
    </row>
    <row r="11" spans="1:19" ht="38.25" x14ac:dyDescent="0.2">
      <c r="A11" s="158"/>
      <c r="B11" s="157"/>
      <c r="C11" s="158"/>
      <c r="D11" s="157"/>
      <c r="E11" s="86" t="s">
        <v>10</v>
      </c>
      <c r="F11" s="27" t="s">
        <v>375</v>
      </c>
      <c r="G11" s="87" t="s">
        <v>377</v>
      </c>
      <c r="H11" s="53" t="s">
        <v>303</v>
      </c>
      <c r="I11" s="53" t="s">
        <v>303</v>
      </c>
      <c r="J11" s="53" t="s">
        <v>303</v>
      </c>
      <c r="K11" s="53" t="s">
        <v>303</v>
      </c>
      <c r="L11" s="64">
        <v>156</v>
      </c>
      <c r="M11" s="64">
        <v>65</v>
      </c>
      <c r="N11" s="64">
        <v>68</v>
      </c>
      <c r="O11" s="64">
        <v>41.4</v>
      </c>
      <c r="P11" s="64">
        <v>8.1999999999999993</v>
      </c>
      <c r="Q11" s="64">
        <v>40.4</v>
      </c>
      <c r="R11" s="64">
        <v>144.5</v>
      </c>
      <c r="S11" s="64">
        <v>183.9</v>
      </c>
    </row>
    <row r="12" spans="1:19" ht="38.25" x14ac:dyDescent="0.2">
      <c r="A12" s="158"/>
      <c r="B12" s="157"/>
      <c r="C12" s="158"/>
      <c r="D12" s="157"/>
      <c r="E12" s="8" t="s">
        <v>11</v>
      </c>
      <c r="F12" s="27" t="s">
        <v>376</v>
      </c>
      <c r="G12" s="32" t="s">
        <v>378</v>
      </c>
      <c r="H12" s="53" t="s">
        <v>303</v>
      </c>
      <c r="I12" s="53" t="s">
        <v>303</v>
      </c>
      <c r="J12" s="53" t="s">
        <v>303</v>
      </c>
      <c r="K12" s="53" t="s">
        <v>303</v>
      </c>
      <c r="L12" s="64">
        <v>218</v>
      </c>
      <c r="M12" s="64">
        <v>130</v>
      </c>
      <c r="N12" s="64">
        <v>135</v>
      </c>
      <c r="O12" s="64">
        <v>24.9</v>
      </c>
      <c r="P12" s="64">
        <v>24.7</v>
      </c>
      <c r="Q12" s="64">
        <v>16.2</v>
      </c>
      <c r="R12" s="64">
        <v>40.1</v>
      </c>
      <c r="S12" s="64">
        <v>32</v>
      </c>
    </row>
    <row r="13" spans="1:19" x14ac:dyDescent="0.2">
      <c r="E13" s="88"/>
    </row>
  </sheetData>
  <mergeCells count="5">
    <mergeCell ref="A2:M2"/>
    <mergeCell ref="D5:D12"/>
    <mergeCell ref="C5:C12"/>
    <mergeCell ref="B5:B12"/>
    <mergeCell ref="A5:A12"/>
  </mergeCells>
  <phoneticPr fontId="5" type="noConversion"/>
  <printOptions horizontalCentered="1" verticalCentered="1"/>
  <pageMargins left="0.25" right="0.25" top="0.3" bottom="0.75" header="0.3" footer="0.3"/>
  <pageSetup paperSize="5" scale="6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499984740745262"/>
  </sheetPr>
  <dimension ref="A2:S8"/>
  <sheetViews>
    <sheetView tabSelected="1" topLeftCell="F3" zoomScale="115" zoomScaleNormal="115" zoomScaleSheetLayoutView="100" workbookViewId="0">
      <selection activeCell="P2" sqref="P2"/>
    </sheetView>
  </sheetViews>
  <sheetFormatPr baseColWidth="10" defaultRowHeight="15" x14ac:dyDescent="0.25"/>
  <cols>
    <col min="1" max="1" width="5.7109375" bestFit="1" customWidth="1"/>
    <col min="2" max="2" width="13.5703125" customWidth="1"/>
    <col min="3" max="3" width="8.140625" bestFit="1" customWidth="1"/>
    <col min="4" max="4" width="13" customWidth="1"/>
    <col min="5" max="5" width="10.5703125" customWidth="1"/>
    <col min="6" max="6" width="29.7109375" customWidth="1"/>
    <col min="7" max="7" width="30.140625" customWidth="1"/>
    <col min="8" max="11" width="6.5703125" bestFit="1" customWidth="1"/>
    <col min="12" max="13" width="8.7109375" bestFit="1" customWidth="1"/>
    <col min="14" max="14" width="7.7109375" bestFit="1" customWidth="1"/>
    <col min="15" max="15" width="9.85546875" bestFit="1" customWidth="1"/>
    <col min="16" max="16" width="7.7109375" bestFit="1" customWidth="1"/>
    <col min="17" max="18" width="9.85546875" bestFit="1" customWidth="1"/>
  </cols>
  <sheetData>
    <row r="2" spans="1:19" ht="21" customHeight="1" x14ac:dyDescent="0.25">
      <c r="A2" s="154" t="s">
        <v>201</v>
      </c>
      <c r="B2" s="154"/>
      <c r="C2" s="154"/>
      <c r="D2" s="154"/>
      <c r="E2" s="154"/>
      <c r="F2" s="154"/>
      <c r="G2" s="154"/>
      <c r="H2" s="154"/>
      <c r="I2" s="154"/>
      <c r="J2" s="154"/>
      <c r="K2" s="154"/>
      <c r="L2" s="154"/>
      <c r="M2" s="154"/>
    </row>
    <row r="4" spans="1:19" ht="73.5" customHeight="1" x14ac:dyDescent="0.25">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13">
        <v>2022</v>
      </c>
    </row>
    <row r="5" spans="1:19" ht="38.25" customHeight="1" x14ac:dyDescent="0.25">
      <c r="A5" s="163">
        <v>12</v>
      </c>
      <c r="B5" s="157" t="s">
        <v>115</v>
      </c>
      <c r="C5" s="158" t="s">
        <v>3</v>
      </c>
      <c r="D5" s="157" t="s">
        <v>116</v>
      </c>
      <c r="E5" s="8" t="s">
        <v>3</v>
      </c>
      <c r="F5" s="27" t="s">
        <v>117</v>
      </c>
      <c r="G5" s="61" t="s">
        <v>254</v>
      </c>
      <c r="H5" s="63">
        <v>26.224677716390421</v>
      </c>
      <c r="I5" s="63">
        <v>44.32780847145488</v>
      </c>
      <c r="J5" s="63">
        <v>30.91160220994475</v>
      </c>
      <c r="K5" s="63">
        <v>44.66298342541436</v>
      </c>
      <c r="L5" s="63">
        <v>27.45</v>
      </c>
      <c r="M5" s="63">
        <v>32.14</v>
      </c>
      <c r="N5" s="54">
        <v>50.07</v>
      </c>
      <c r="O5" s="54">
        <v>50.12</v>
      </c>
      <c r="P5" s="54">
        <v>43.65</v>
      </c>
      <c r="Q5" s="54">
        <v>43.77</v>
      </c>
      <c r="R5" s="54">
        <v>47.43</v>
      </c>
      <c r="S5" s="63">
        <v>45.357458563535914</v>
      </c>
    </row>
    <row r="6" spans="1:19" ht="53.25" customHeight="1" x14ac:dyDescent="0.25">
      <c r="A6" s="163"/>
      <c r="B6" s="157"/>
      <c r="C6" s="157"/>
      <c r="D6" s="157"/>
      <c r="E6" s="8" t="s">
        <v>4</v>
      </c>
      <c r="F6" s="27" t="s">
        <v>380</v>
      </c>
      <c r="G6" s="61" t="s">
        <v>255</v>
      </c>
      <c r="H6" s="63">
        <f>132.8/4851.4*100</f>
        <v>2.7373541658078087</v>
      </c>
      <c r="I6" s="63">
        <f>105/4971*100</f>
        <v>2.1122510561255279</v>
      </c>
      <c r="J6" s="63">
        <f>173.4/2916.4*100</f>
        <v>5.9456864627623096</v>
      </c>
      <c r="K6" s="54">
        <v>4.92</v>
      </c>
      <c r="L6" s="54">
        <v>5.6</v>
      </c>
      <c r="M6" s="54">
        <v>11.2</v>
      </c>
      <c r="N6" s="54">
        <v>1.9</v>
      </c>
      <c r="O6" s="54">
        <v>4.57</v>
      </c>
      <c r="P6" s="54">
        <v>3.05</v>
      </c>
      <c r="Q6" s="54">
        <v>2.79</v>
      </c>
      <c r="R6" s="54">
        <v>1.3</v>
      </c>
      <c r="S6" s="54">
        <v>1.9</v>
      </c>
    </row>
    <row r="7" spans="1:19" ht="58.5" customHeight="1" x14ac:dyDescent="0.25">
      <c r="A7" s="163"/>
      <c r="B7" s="157"/>
      <c r="C7" s="157"/>
      <c r="D7" s="157"/>
      <c r="E7" s="8" t="s">
        <v>5</v>
      </c>
      <c r="F7" s="27" t="s">
        <v>118</v>
      </c>
      <c r="G7" s="61" t="s">
        <v>256</v>
      </c>
      <c r="H7" s="63">
        <f>4718.6/4851.4*100</f>
        <v>97.262645834192213</v>
      </c>
      <c r="I7" s="63">
        <f>4865/4971*100</f>
        <v>97.86763226714946</v>
      </c>
      <c r="J7" s="63">
        <f>2743/2916*100</f>
        <v>94.067215363511664</v>
      </c>
      <c r="K7" s="54">
        <v>95.08</v>
      </c>
      <c r="L7" s="54">
        <v>94.4</v>
      </c>
      <c r="M7" s="54">
        <v>88.8</v>
      </c>
      <c r="N7" s="54">
        <v>98.01</v>
      </c>
      <c r="O7" s="54">
        <v>95.42</v>
      </c>
      <c r="P7" s="54">
        <v>96.95</v>
      </c>
      <c r="Q7" s="54">
        <v>96.37</v>
      </c>
      <c r="R7" s="54">
        <v>98.7</v>
      </c>
      <c r="S7" s="54">
        <v>98.1</v>
      </c>
    </row>
    <row r="8" spans="1:19" ht="33" customHeight="1" x14ac:dyDescent="0.25">
      <c r="A8" s="163"/>
      <c r="B8" s="157"/>
      <c r="C8" s="157"/>
      <c r="D8" s="157"/>
      <c r="E8" s="8" t="s">
        <v>6</v>
      </c>
      <c r="F8" s="27" t="s">
        <v>119</v>
      </c>
      <c r="G8" s="61" t="s">
        <v>216</v>
      </c>
      <c r="H8" s="54">
        <v>21699</v>
      </c>
      <c r="I8" s="54">
        <v>33056</v>
      </c>
      <c r="J8" s="54">
        <v>36816</v>
      </c>
      <c r="K8" s="54">
        <v>28180</v>
      </c>
      <c r="L8" s="54">
        <v>35945.5</v>
      </c>
      <c r="M8" s="54">
        <v>51785.4</v>
      </c>
      <c r="N8" s="54">
        <v>333354</v>
      </c>
      <c r="O8" s="54">
        <v>645098.5</v>
      </c>
      <c r="P8" s="54">
        <v>663287</v>
      </c>
      <c r="Q8" s="54">
        <v>54053.61</v>
      </c>
      <c r="R8" s="54">
        <v>510504.5</v>
      </c>
      <c r="S8" s="54">
        <v>52389.7</v>
      </c>
    </row>
  </sheetData>
  <mergeCells count="5">
    <mergeCell ref="D5:D8"/>
    <mergeCell ref="A5:A8"/>
    <mergeCell ref="B5:B8"/>
    <mergeCell ref="C5:C8"/>
    <mergeCell ref="A2:M2"/>
  </mergeCells>
  <phoneticPr fontId="5" type="noConversion"/>
  <printOptions horizontalCentered="1" verticalCentered="1"/>
  <pageMargins left="0.31496062992125984" right="0.31496062992125984" top="0.74803149606299213" bottom="0.74803149606299213" header="0.31496062992125984" footer="0.31496062992125984"/>
  <pageSetup scale="6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499984740745262"/>
    <pageSetUpPr fitToPage="1"/>
  </sheetPr>
  <dimension ref="A2:R6"/>
  <sheetViews>
    <sheetView zoomScale="80" zoomScaleNormal="80" zoomScaleSheetLayoutView="80" workbookViewId="0">
      <selection activeCell="F6" sqref="F6"/>
    </sheetView>
  </sheetViews>
  <sheetFormatPr baseColWidth="10" defaultRowHeight="15" x14ac:dyDescent="0.25"/>
  <cols>
    <col min="1" max="1" width="5.7109375" bestFit="1" customWidth="1"/>
    <col min="2" max="2" width="13" customWidth="1"/>
    <col min="3" max="3" width="8.140625" bestFit="1" customWidth="1"/>
    <col min="4" max="4" width="20.5703125" customWidth="1"/>
    <col min="5" max="5" width="9.42578125" customWidth="1"/>
    <col min="6" max="6" width="17.5703125" customWidth="1"/>
    <col min="7" max="7" width="25.140625" customWidth="1"/>
  </cols>
  <sheetData>
    <row r="2" spans="1:18" ht="32.25" customHeight="1" x14ac:dyDescent="0.25">
      <c r="A2" s="154" t="s">
        <v>201</v>
      </c>
      <c r="B2" s="154"/>
      <c r="C2" s="154"/>
      <c r="D2" s="154"/>
      <c r="E2" s="154"/>
      <c r="F2" s="154"/>
      <c r="G2" s="154"/>
      <c r="H2" s="154"/>
      <c r="I2" s="154"/>
      <c r="J2" s="154"/>
      <c r="K2" s="154"/>
      <c r="L2" s="154"/>
      <c r="M2" s="154"/>
    </row>
    <row r="4" spans="1:18" ht="55.5" thickBot="1" x14ac:dyDescent="0.3">
      <c r="A4" s="18" t="s">
        <v>51</v>
      </c>
      <c r="B4" s="19" t="s">
        <v>52</v>
      </c>
      <c r="C4" s="18" t="s">
        <v>72</v>
      </c>
      <c r="D4" s="19" t="s">
        <v>73</v>
      </c>
      <c r="E4" s="18" t="s">
        <v>74</v>
      </c>
      <c r="F4" s="19" t="s">
        <v>75</v>
      </c>
      <c r="G4" s="13" t="s">
        <v>196</v>
      </c>
      <c r="H4" s="13">
        <v>2012</v>
      </c>
      <c r="I4" s="13">
        <v>2013</v>
      </c>
      <c r="J4" s="13">
        <v>2014</v>
      </c>
      <c r="K4" s="13">
        <v>2015</v>
      </c>
      <c r="L4" s="13">
        <v>2016</v>
      </c>
      <c r="M4" s="13">
        <v>2017</v>
      </c>
      <c r="N4" s="13">
        <v>2018</v>
      </c>
      <c r="O4" s="13">
        <v>2019</v>
      </c>
      <c r="P4" s="13">
        <v>2020</v>
      </c>
      <c r="Q4" s="13">
        <v>2021</v>
      </c>
      <c r="R4" s="13">
        <v>2022</v>
      </c>
    </row>
    <row r="5" spans="1:18" ht="86.25" customHeight="1" x14ac:dyDescent="0.25">
      <c r="A5" s="164" t="s">
        <v>198</v>
      </c>
      <c r="B5" s="163" t="s">
        <v>81</v>
      </c>
      <c r="C5" s="20" t="s">
        <v>3</v>
      </c>
      <c r="D5" s="7" t="s">
        <v>82</v>
      </c>
      <c r="E5" s="20" t="s">
        <v>3</v>
      </c>
      <c r="F5" s="7" t="s">
        <v>83</v>
      </c>
      <c r="G5" s="22" t="s">
        <v>243</v>
      </c>
      <c r="H5" s="23">
        <f>2103/2103*100</f>
        <v>100</v>
      </c>
      <c r="I5" s="23">
        <f>2222/2222*100</f>
        <v>100</v>
      </c>
      <c r="J5" s="23">
        <f>2286/2286*100</f>
        <v>100</v>
      </c>
      <c r="K5" s="33">
        <v>0.89159999999999995</v>
      </c>
      <c r="L5" s="30">
        <v>0.91</v>
      </c>
      <c r="M5" s="30">
        <f>SUM(2454/2638)</f>
        <v>0.93025018953752847</v>
      </c>
      <c r="N5" s="23">
        <v>98.04</v>
      </c>
      <c r="O5" s="23">
        <v>56.66</v>
      </c>
      <c r="P5" s="23">
        <v>54.93</v>
      </c>
      <c r="Q5" s="23">
        <v>57.48</v>
      </c>
      <c r="R5" s="23">
        <v>58.69</v>
      </c>
    </row>
    <row r="6" spans="1:18" ht="108.75" customHeight="1" x14ac:dyDescent="0.25">
      <c r="A6" s="156"/>
      <c r="B6" s="163"/>
      <c r="C6" s="20" t="s">
        <v>4</v>
      </c>
      <c r="D6" s="7" t="s">
        <v>84</v>
      </c>
      <c r="E6" s="20" t="s">
        <v>4</v>
      </c>
      <c r="F6" s="7" t="s">
        <v>85</v>
      </c>
      <c r="G6" s="22" t="s">
        <v>244</v>
      </c>
      <c r="H6" s="23">
        <f>2190/2190*100</f>
        <v>100</v>
      </c>
      <c r="I6" s="23">
        <f>2234/2234*100</f>
        <v>100</v>
      </c>
      <c r="J6" s="23">
        <f>2277/2277*100</f>
        <v>100</v>
      </c>
      <c r="K6" s="30">
        <v>0.99</v>
      </c>
      <c r="L6" s="30">
        <v>0.99</v>
      </c>
      <c r="M6" s="30">
        <f>SUM(2490/2490)</f>
        <v>1</v>
      </c>
      <c r="N6" s="30">
        <v>1</v>
      </c>
      <c r="O6" s="30">
        <v>1</v>
      </c>
      <c r="P6" s="30">
        <v>1</v>
      </c>
      <c r="Q6" s="30">
        <v>1</v>
      </c>
      <c r="R6" s="30">
        <v>1</v>
      </c>
    </row>
  </sheetData>
  <mergeCells count="3">
    <mergeCell ref="A5:A6"/>
    <mergeCell ref="B5:B6"/>
    <mergeCell ref="A2:M2"/>
  </mergeCells>
  <phoneticPr fontId="5" type="noConversion"/>
  <printOptions horizontalCentered="1" verticalCentered="1"/>
  <pageMargins left="0.31496062992125984" right="0.31496062992125984" top="0.74803149606299213" bottom="0.74803149606299213" header="0.31496062992125984" footer="0.31496062992125984"/>
  <pageSetup paperSize="5" scale="8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pageSetUpPr fitToPage="1"/>
  </sheetPr>
  <dimension ref="A1:T25"/>
  <sheetViews>
    <sheetView topLeftCell="D1" zoomScale="90" zoomScaleNormal="90" zoomScalePageLayoutView="80" workbookViewId="0">
      <selection activeCell="I3" sqref="I3:T3"/>
    </sheetView>
  </sheetViews>
  <sheetFormatPr baseColWidth="10" defaultRowHeight="15" x14ac:dyDescent="0.25"/>
  <cols>
    <col min="3" max="3" width="15.28515625" customWidth="1"/>
    <col min="4" max="4" width="17.140625" style="71" customWidth="1"/>
    <col min="5" max="5" width="15.7109375" customWidth="1"/>
    <col min="7" max="7" width="26.85546875" customWidth="1"/>
    <col min="8" max="8" width="28.85546875" style="71" customWidth="1"/>
    <col min="9" max="9" width="11.42578125" customWidth="1"/>
    <col min="10" max="10" width="9.5703125" customWidth="1"/>
    <col min="11" max="11" width="10.140625" customWidth="1"/>
    <col min="12" max="12" width="10.28515625" customWidth="1"/>
    <col min="13" max="16" width="7.7109375" bestFit="1" customWidth="1"/>
    <col min="17" max="18" width="8.7109375" bestFit="1" customWidth="1"/>
    <col min="19" max="19" width="7.7109375" bestFit="1" customWidth="1"/>
  </cols>
  <sheetData>
    <row r="1" spans="1:20" x14ac:dyDescent="0.25">
      <c r="A1" s="180" t="s">
        <v>212</v>
      </c>
      <c r="B1" s="180"/>
      <c r="C1" s="180"/>
      <c r="D1" s="180"/>
      <c r="E1" s="180"/>
      <c r="F1" s="180"/>
      <c r="G1" s="180"/>
      <c r="H1" s="180"/>
      <c r="I1" s="180"/>
      <c r="J1" s="180"/>
      <c r="K1" s="180"/>
      <c r="L1" s="180"/>
      <c r="M1" s="180"/>
      <c r="N1" s="180"/>
      <c r="O1" s="180"/>
      <c r="P1" s="180"/>
      <c r="Q1" s="180"/>
      <c r="R1" s="180"/>
      <c r="S1" s="180"/>
    </row>
    <row r="2" spans="1:20" x14ac:dyDescent="0.25">
      <c r="A2" s="1"/>
      <c r="B2" s="1"/>
      <c r="C2" s="1"/>
      <c r="D2" s="58"/>
      <c r="E2" s="1"/>
      <c r="F2" s="1"/>
      <c r="G2" s="1"/>
      <c r="H2" s="58"/>
      <c r="I2" s="1"/>
      <c r="J2" s="1"/>
      <c r="K2" s="1"/>
      <c r="L2" s="1"/>
      <c r="M2" s="1"/>
      <c r="N2" s="1"/>
      <c r="O2" s="1"/>
    </row>
    <row r="3" spans="1:20" s="74" customFormat="1" ht="80.25" customHeight="1" x14ac:dyDescent="0.25">
      <c r="A3" s="72" t="s">
        <v>51</v>
      </c>
      <c r="B3" s="73" t="s">
        <v>52</v>
      </c>
      <c r="C3" s="72" t="s">
        <v>72</v>
      </c>
      <c r="D3" s="73" t="s">
        <v>73</v>
      </c>
      <c r="E3" s="72" t="s">
        <v>74</v>
      </c>
      <c r="F3" s="181" t="s">
        <v>75</v>
      </c>
      <c r="G3" s="182"/>
      <c r="H3" s="73" t="s">
        <v>196</v>
      </c>
      <c r="I3" s="73">
        <v>2011</v>
      </c>
      <c r="J3" s="73">
        <v>2012</v>
      </c>
      <c r="K3" s="73">
        <v>2013</v>
      </c>
      <c r="L3" s="73">
        <v>2014</v>
      </c>
      <c r="M3" s="73">
        <v>2015</v>
      </c>
      <c r="N3" s="73">
        <v>2016</v>
      </c>
      <c r="O3" s="73">
        <v>2017</v>
      </c>
      <c r="P3" s="73">
        <v>2018</v>
      </c>
      <c r="Q3" s="73">
        <v>2019</v>
      </c>
      <c r="R3" s="73">
        <v>2020</v>
      </c>
      <c r="S3" s="73">
        <v>2021</v>
      </c>
      <c r="T3" s="141">
        <v>2022</v>
      </c>
    </row>
    <row r="4" spans="1:20" ht="25.5" x14ac:dyDescent="0.25">
      <c r="A4" s="156" t="s">
        <v>39</v>
      </c>
      <c r="B4" s="163" t="s">
        <v>53</v>
      </c>
      <c r="C4" s="158" t="s">
        <v>39</v>
      </c>
      <c r="D4" s="157" t="s">
        <v>68</v>
      </c>
      <c r="E4" s="9" t="s">
        <v>3</v>
      </c>
      <c r="F4" s="172" t="s">
        <v>45</v>
      </c>
      <c r="G4" s="173"/>
      <c r="H4" s="21" t="s">
        <v>202</v>
      </c>
      <c r="I4" s="26">
        <f>190/222</f>
        <v>0.85585585585585588</v>
      </c>
      <c r="J4" s="26">
        <f>205/219</f>
        <v>0.9360730593607306</v>
      </c>
      <c r="K4" s="26">
        <f>198/219</f>
        <v>0.90410958904109584</v>
      </c>
      <c r="L4" s="26">
        <f>201/223</f>
        <v>0.90134529147982068</v>
      </c>
      <c r="M4" s="41" t="s">
        <v>291</v>
      </c>
      <c r="N4" s="42">
        <v>0.61470000000000002</v>
      </c>
      <c r="O4" s="41">
        <v>0.62549999999999994</v>
      </c>
      <c r="P4" s="45">
        <v>0.91039999999999999</v>
      </c>
      <c r="Q4" s="45">
        <v>0.8841</v>
      </c>
      <c r="R4" s="45">
        <v>0.89400000000000002</v>
      </c>
      <c r="S4" s="70">
        <v>0.75860000000000005</v>
      </c>
      <c r="T4" s="143">
        <v>0.86629999999999996</v>
      </c>
    </row>
    <row r="5" spans="1:20" ht="51" x14ac:dyDescent="0.25">
      <c r="A5" s="156"/>
      <c r="B5" s="163"/>
      <c r="C5" s="158"/>
      <c r="D5" s="157"/>
      <c r="E5" s="9" t="s">
        <v>4</v>
      </c>
      <c r="F5" s="172" t="s">
        <v>439</v>
      </c>
      <c r="G5" s="173"/>
      <c r="H5" s="13" t="s">
        <v>203</v>
      </c>
      <c r="I5" s="27" t="s">
        <v>273</v>
      </c>
      <c r="J5" s="27" t="s">
        <v>274</v>
      </c>
      <c r="K5" s="27" t="s">
        <v>275</v>
      </c>
      <c r="L5" s="27" t="s">
        <v>276</v>
      </c>
      <c r="M5" s="40">
        <v>0.9446</v>
      </c>
      <c r="N5" s="40">
        <v>0.92100000000000004</v>
      </c>
      <c r="O5" s="40">
        <v>0.87660000000000005</v>
      </c>
      <c r="P5" s="68">
        <v>1.1399999999999999</v>
      </c>
      <c r="Q5" s="68">
        <v>1.28</v>
      </c>
      <c r="R5" s="68">
        <v>1.24</v>
      </c>
      <c r="S5" s="69">
        <v>1.17</v>
      </c>
      <c r="T5" s="143">
        <v>1.1545000000000001</v>
      </c>
    </row>
    <row r="6" spans="1:20" ht="38.25" x14ac:dyDescent="0.25">
      <c r="A6" s="156"/>
      <c r="B6" s="163"/>
      <c r="C6" s="157"/>
      <c r="D6" s="157"/>
      <c r="E6" s="9" t="s">
        <v>5</v>
      </c>
      <c r="F6" s="172" t="s">
        <v>46</v>
      </c>
      <c r="G6" s="173"/>
      <c r="H6" s="21" t="s">
        <v>204</v>
      </c>
      <c r="I6" s="26">
        <f>386/531</f>
        <v>0.72693032015065917</v>
      </c>
      <c r="J6" s="26">
        <f>352/522</f>
        <v>0.67432950191570884</v>
      </c>
      <c r="K6" s="26">
        <f>326/510</f>
        <v>0.63921568627450975</v>
      </c>
      <c r="L6" s="26">
        <f>315/496</f>
        <v>0.63508064516129037</v>
      </c>
      <c r="M6" s="42">
        <v>0.59960000000000002</v>
      </c>
      <c r="N6" s="42">
        <v>0.755</v>
      </c>
      <c r="O6" s="41">
        <v>0.7873</v>
      </c>
      <c r="P6" s="45">
        <v>0.82</v>
      </c>
      <c r="Q6" s="45">
        <v>1.01</v>
      </c>
      <c r="R6" s="45">
        <v>1.02</v>
      </c>
      <c r="S6" s="69">
        <v>0.9</v>
      </c>
      <c r="T6" s="142">
        <v>100.31</v>
      </c>
    </row>
    <row r="7" spans="1:20" ht="51" x14ac:dyDescent="0.25">
      <c r="A7" s="156"/>
      <c r="B7" s="163"/>
      <c r="C7" s="8" t="s">
        <v>40</v>
      </c>
      <c r="D7" s="27" t="s">
        <v>54</v>
      </c>
      <c r="E7" s="9" t="s">
        <v>6</v>
      </c>
      <c r="F7" s="172" t="s">
        <v>47</v>
      </c>
      <c r="G7" s="173"/>
      <c r="H7" s="21" t="s">
        <v>210</v>
      </c>
      <c r="I7" s="25">
        <f>28/4387*1000</f>
        <v>6.3824937314793706</v>
      </c>
      <c r="J7" s="25">
        <f>28/4325*1000</f>
        <v>6.4739884393063587</v>
      </c>
      <c r="K7" s="25">
        <f>27/4266*1000</f>
        <v>6.3291139240506329</v>
      </c>
      <c r="L7" s="25">
        <f>24/4214*1000</f>
        <v>5.6953013763644993</v>
      </c>
      <c r="M7" s="25">
        <v>5.7</v>
      </c>
      <c r="N7" s="25">
        <v>5.7</v>
      </c>
      <c r="O7" s="47"/>
      <c r="P7" s="46">
        <v>12.7</v>
      </c>
      <c r="Q7" s="46">
        <v>12.7</v>
      </c>
      <c r="R7" s="46">
        <v>12.7</v>
      </c>
      <c r="S7" s="46">
        <v>12.7</v>
      </c>
      <c r="T7" s="142"/>
    </row>
    <row r="8" spans="1:20" ht="25.5" x14ac:dyDescent="0.25">
      <c r="A8" s="156"/>
      <c r="B8" s="163"/>
      <c r="C8" s="8" t="s">
        <v>41</v>
      </c>
      <c r="D8" s="27" t="s">
        <v>55</v>
      </c>
      <c r="E8" s="9" t="s">
        <v>7</v>
      </c>
      <c r="F8" s="172" t="s">
        <v>48</v>
      </c>
      <c r="G8" s="173"/>
      <c r="H8" s="21" t="s">
        <v>205</v>
      </c>
      <c r="I8" s="25">
        <f>102/2648*100</f>
        <v>3.8519637462235647</v>
      </c>
      <c r="J8" s="25">
        <f>137/2515*100</f>
        <v>5.4473161033797215</v>
      </c>
      <c r="K8" s="25">
        <f>133/2430*100</f>
        <v>5.473251028806585</v>
      </c>
      <c r="L8" s="25">
        <f>55/2336*100</f>
        <v>2.3544520547945207</v>
      </c>
      <c r="M8" s="25"/>
      <c r="N8" s="25">
        <v>1.37</v>
      </c>
      <c r="O8" s="47">
        <f>SUM(18/2475*100)</f>
        <v>0.72727272727272729</v>
      </c>
      <c r="P8" s="45">
        <v>2.92E-2</v>
      </c>
      <c r="Q8" s="45">
        <v>1.3899999999999999E-2</v>
      </c>
      <c r="R8" s="45">
        <v>7.1000000000000004E-3</v>
      </c>
      <c r="S8" s="70">
        <v>4.9299999999999997E-2</v>
      </c>
      <c r="T8" s="143">
        <v>4.87E-2</v>
      </c>
    </row>
    <row r="9" spans="1:20" ht="37.5" customHeight="1" x14ac:dyDescent="0.25">
      <c r="A9" s="156"/>
      <c r="B9" s="163"/>
      <c r="C9" s="168" t="s">
        <v>42</v>
      </c>
      <c r="D9" s="170" t="s">
        <v>56</v>
      </c>
      <c r="E9" s="9" t="s">
        <v>8</v>
      </c>
      <c r="F9" s="172" t="s">
        <v>381</v>
      </c>
      <c r="G9" s="173"/>
      <c r="H9" s="27" t="s">
        <v>209</v>
      </c>
      <c r="I9" s="21"/>
      <c r="J9" s="21">
        <v>56.5</v>
      </c>
      <c r="K9" s="43">
        <v>48</v>
      </c>
      <c r="L9" s="25">
        <v>307.41666666666669</v>
      </c>
      <c r="M9" s="25">
        <v>312.83333333333337</v>
      </c>
      <c r="N9" s="25">
        <v>309.83333333333331</v>
      </c>
      <c r="O9" s="47">
        <v>303.625</v>
      </c>
      <c r="P9" s="52" t="s">
        <v>303</v>
      </c>
      <c r="Q9" s="52" t="s">
        <v>303</v>
      </c>
      <c r="R9" s="52" t="s">
        <v>303</v>
      </c>
      <c r="S9" s="23"/>
      <c r="T9" s="142"/>
    </row>
    <row r="10" spans="1:20" ht="28.5" customHeight="1" x14ac:dyDescent="0.25">
      <c r="A10" s="156"/>
      <c r="B10" s="163"/>
      <c r="C10" s="183"/>
      <c r="D10" s="186"/>
      <c r="E10" s="9" t="s">
        <v>9</v>
      </c>
      <c r="F10" s="172" t="s">
        <v>382</v>
      </c>
      <c r="G10" s="173"/>
      <c r="H10" s="21" t="s">
        <v>209</v>
      </c>
      <c r="I10" s="21"/>
      <c r="J10" s="21">
        <v>52.7</v>
      </c>
      <c r="K10" s="21">
        <v>49.6</v>
      </c>
      <c r="L10" s="21">
        <v>292.75</v>
      </c>
      <c r="M10" s="21">
        <v>298.75</v>
      </c>
      <c r="N10" s="21">
        <v>305.5</v>
      </c>
      <c r="O10" s="47">
        <v>299.375</v>
      </c>
      <c r="P10" s="52" t="s">
        <v>303</v>
      </c>
      <c r="Q10" s="52" t="s">
        <v>303</v>
      </c>
      <c r="R10" s="52" t="s">
        <v>303</v>
      </c>
      <c r="S10" s="23"/>
      <c r="T10" s="142"/>
    </row>
    <row r="11" spans="1:20" ht="29.25" customHeight="1" x14ac:dyDescent="0.25">
      <c r="A11" s="156"/>
      <c r="B11" s="163"/>
      <c r="C11" s="183"/>
      <c r="D11" s="186"/>
      <c r="E11" s="9" t="s">
        <v>10</v>
      </c>
      <c r="F11" s="172" t="s">
        <v>383</v>
      </c>
      <c r="G11" s="173"/>
      <c r="H11" s="21" t="s">
        <v>209</v>
      </c>
      <c r="I11" s="21"/>
      <c r="J11" s="21">
        <v>44.9</v>
      </c>
      <c r="K11" s="21">
        <v>44.6</v>
      </c>
      <c r="L11" s="43">
        <v>254.5</v>
      </c>
      <c r="M11" s="21">
        <v>260.75</v>
      </c>
      <c r="N11" s="21">
        <v>265.5</v>
      </c>
      <c r="O11" s="27">
        <v>265.25</v>
      </c>
      <c r="P11" s="46">
        <v>262.5</v>
      </c>
      <c r="Q11" s="46">
        <v>252.5</v>
      </c>
      <c r="R11" s="46">
        <v>248.5</v>
      </c>
      <c r="S11" s="54">
        <v>247.25</v>
      </c>
      <c r="T11" s="142">
        <v>267.75</v>
      </c>
    </row>
    <row r="12" spans="1:20" ht="29.25" customHeight="1" x14ac:dyDescent="0.25">
      <c r="A12" s="156"/>
      <c r="B12" s="163"/>
      <c r="C12" s="183"/>
      <c r="D12" s="186"/>
      <c r="E12" s="178" t="s">
        <v>11</v>
      </c>
      <c r="F12" s="174" t="s">
        <v>331</v>
      </c>
      <c r="G12" s="175"/>
      <c r="H12" s="27" t="s">
        <v>326</v>
      </c>
      <c r="I12" s="21"/>
      <c r="J12" s="21"/>
      <c r="K12" s="21"/>
      <c r="L12" s="76">
        <v>0</v>
      </c>
      <c r="M12" s="76">
        <v>0</v>
      </c>
      <c r="N12" s="76">
        <v>0</v>
      </c>
      <c r="O12" s="77">
        <v>0.25</v>
      </c>
      <c r="P12" s="78">
        <v>0.25</v>
      </c>
      <c r="Q12" s="78">
        <v>0.25</v>
      </c>
      <c r="R12" s="78">
        <v>0</v>
      </c>
      <c r="S12" s="79">
        <v>0</v>
      </c>
      <c r="T12" s="144">
        <v>0</v>
      </c>
    </row>
    <row r="13" spans="1:20" ht="29.25" customHeight="1" x14ac:dyDescent="0.25">
      <c r="A13" s="156"/>
      <c r="B13" s="163"/>
      <c r="C13" s="183"/>
      <c r="D13" s="186"/>
      <c r="E13" s="179"/>
      <c r="F13" s="176"/>
      <c r="G13" s="177"/>
      <c r="H13" s="27" t="s">
        <v>327</v>
      </c>
      <c r="I13" s="21"/>
      <c r="J13" s="21"/>
      <c r="K13" s="21"/>
      <c r="L13" s="76">
        <v>0.25</v>
      </c>
      <c r="M13" s="76">
        <v>0.25</v>
      </c>
      <c r="N13" s="76">
        <v>0.25</v>
      </c>
      <c r="O13" s="77">
        <v>0</v>
      </c>
      <c r="P13" s="78">
        <v>0</v>
      </c>
      <c r="Q13" s="78">
        <v>0</v>
      </c>
      <c r="R13" s="78">
        <v>0.25</v>
      </c>
      <c r="S13" s="78">
        <v>0.25</v>
      </c>
      <c r="T13" s="78">
        <v>0.25</v>
      </c>
    </row>
    <row r="14" spans="1:20" ht="29.25" customHeight="1" x14ac:dyDescent="0.25">
      <c r="A14" s="156"/>
      <c r="B14" s="163"/>
      <c r="C14" s="183"/>
      <c r="D14" s="186"/>
      <c r="E14" s="179"/>
      <c r="F14" s="176"/>
      <c r="G14" s="177"/>
      <c r="H14" s="27" t="s">
        <v>328</v>
      </c>
      <c r="I14" s="21"/>
      <c r="J14" s="21"/>
      <c r="K14" s="21"/>
      <c r="L14" s="76">
        <v>0.25</v>
      </c>
      <c r="M14" s="76">
        <v>0.25</v>
      </c>
      <c r="N14" s="76">
        <v>0.5</v>
      </c>
      <c r="O14" s="77">
        <v>0.5</v>
      </c>
      <c r="P14" s="78">
        <v>0.5</v>
      </c>
      <c r="Q14" s="78">
        <v>0.5</v>
      </c>
      <c r="R14" s="78">
        <v>0.25</v>
      </c>
      <c r="S14" s="79">
        <v>0</v>
      </c>
      <c r="T14" s="79">
        <v>0.75</v>
      </c>
    </row>
    <row r="15" spans="1:20" ht="29.25" customHeight="1" x14ac:dyDescent="0.25">
      <c r="A15" s="156"/>
      <c r="B15" s="163"/>
      <c r="C15" s="183"/>
      <c r="D15" s="186"/>
      <c r="E15" s="179"/>
      <c r="F15" s="176"/>
      <c r="G15" s="177"/>
      <c r="H15" s="27" t="s">
        <v>329</v>
      </c>
      <c r="I15" s="21"/>
      <c r="J15" s="21"/>
      <c r="K15" s="21"/>
      <c r="L15" s="76">
        <v>0.5</v>
      </c>
      <c r="M15" s="76">
        <v>0.5</v>
      </c>
      <c r="N15" s="76">
        <v>0.25</v>
      </c>
      <c r="O15" s="77">
        <v>0.25</v>
      </c>
      <c r="P15" s="78">
        <v>0.25</v>
      </c>
      <c r="Q15" s="78">
        <v>0.25</v>
      </c>
      <c r="R15" s="78">
        <v>0.25</v>
      </c>
      <c r="S15" s="79">
        <v>0.75</v>
      </c>
      <c r="T15" s="78">
        <v>0.25</v>
      </c>
    </row>
    <row r="16" spans="1:20" ht="29.25" customHeight="1" x14ac:dyDescent="0.25">
      <c r="A16" s="156"/>
      <c r="B16" s="163"/>
      <c r="C16" s="183"/>
      <c r="D16" s="186"/>
      <c r="E16" s="179"/>
      <c r="F16" s="176"/>
      <c r="G16" s="177"/>
      <c r="H16" s="82" t="s">
        <v>330</v>
      </c>
      <c r="I16" s="82"/>
      <c r="J16" s="82"/>
      <c r="K16" s="82"/>
      <c r="L16" s="83">
        <v>0</v>
      </c>
      <c r="M16" s="83">
        <v>0</v>
      </c>
      <c r="N16" s="83">
        <v>0</v>
      </c>
      <c r="O16" s="83">
        <v>0</v>
      </c>
      <c r="P16" s="84">
        <v>0</v>
      </c>
      <c r="Q16" s="84">
        <v>0</v>
      </c>
      <c r="R16" s="84">
        <v>0.25</v>
      </c>
      <c r="S16" s="85">
        <v>0</v>
      </c>
      <c r="T16" s="144">
        <v>0</v>
      </c>
    </row>
    <row r="17" spans="1:20" ht="63" customHeight="1" x14ac:dyDescent="0.25">
      <c r="A17" s="156"/>
      <c r="B17" s="163"/>
      <c r="C17" s="183"/>
      <c r="D17" s="186"/>
      <c r="E17" s="9"/>
      <c r="F17" s="184" t="s">
        <v>343</v>
      </c>
      <c r="G17" s="185"/>
      <c r="H17" s="82"/>
      <c r="I17" s="82"/>
      <c r="J17" s="61" t="s">
        <v>350</v>
      </c>
      <c r="K17" s="61" t="s">
        <v>349</v>
      </c>
      <c r="L17" s="61" t="s">
        <v>351</v>
      </c>
      <c r="M17" s="61" t="s">
        <v>352</v>
      </c>
      <c r="N17" s="61" t="s">
        <v>353</v>
      </c>
      <c r="O17" s="61" t="s">
        <v>354</v>
      </c>
      <c r="P17" s="52" t="s">
        <v>303</v>
      </c>
      <c r="Q17" s="52" t="s">
        <v>303</v>
      </c>
      <c r="R17" s="52" t="s">
        <v>303</v>
      </c>
      <c r="S17" s="52" t="s">
        <v>303</v>
      </c>
      <c r="T17" s="52" t="s">
        <v>303</v>
      </c>
    </row>
    <row r="18" spans="1:20" ht="64.5" customHeight="1" x14ac:dyDescent="0.25">
      <c r="A18" s="156"/>
      <c r="B18" s="163"/>
      <c r="C18" s="183"/>
      <c r="D18" s="186"/>
      <c r="E18" s="9"/>
      <c r="F18" s="184" t="s">
        <v>344</v>
      </c>
      <c r="G18" s="185"/>
      <c r="H18" s="82"/>
      <c r="I18" s="82"/>
      <c r="J18" s="61" t="s">
        <v>356</v>
      </c>
      <c r="K18" s="61" t="s">
        <v>355</v>
      </c>
      <c r="L18" s="61" t="s">
        <v>357</v>
      </c>
      <c r="M18" s="61" t="s">
        <v>358</v>
      </c>
      <c r="N18" s="61" t="s">
        <v>359</v>
      </c>
      <c r="O18" s="61" t="s">
        <v>360</v>
      </c>
      <c r="P18" s="52" t="s">
        <v>303</v>
      </c>
      <c r="Q18" s="52" t="s">
        <v>303</v>
      </c>
      <c r="R18" s="52" t="s">
        <v>303</v>
      </c>
      <c r="S18" s="52" t="s">
        <v>303</v>
      </c>
      <c r="T18" s="52" t="s">
        <v>303</v>
      </c>
    </row>
    <row r="19" spans="1:20" ht="63.75" customHeight="1" x14ac:dyDescent="0.25">
      <c r="A19" s="156"/>
      <c r="B19" s="163"/>
      <c r="C19" s="183"/>
      <c r="D19" s="186"/>
      <c r="E19" s="9"/>
      <c r="F19" s="184" t="s">
        <v>345</v>
      </c>
      <c r="G19" s="185"/>
      <c r="H19" s="82"/>
      <c r="I19" s="82"/>
      <c r="J19" s="61" t="s">
        <v>347</v>
      </c>
      <c r="K19" s="61" t="s">
        <v>348</v>
      </c>
      <c r="L19" s="61" t="s">
        <v>361</v>
      </c>
      <c r="M19" s="61" t="s">
        <v>362</v>
      </c>
      <c r="N19" s="61" t="s">
        <v>363</v>
      </c>
      <c r="O19" s="61" t="s">
        <v>364</v>
      </c>
      <c r="P19" s="52" t="s">
        <v>303</v>
      </c>
      <c r="Q19" s="52" t="s">
        <v>303</v>
      </c>
      <c r="R19" s="52" t="s">
        <v>303</v>
      </c>
      <c r="S19" s="52" t="s">
        <v>303</v>
      </c>
      <c r="T19" s="52" t="s">
        <v>303</v>
      </c>
    </row>
    <row r="20" spans="1:20" ht="72" customHeight="1" x14ac:dyDescent="0.25">
      <c r="A20" s="156"/>
      <c r="B20" s="163"/>
      <c r="C20" s="169"/>
      <c r="D20" s="171"/>
      <c r="E20" s="9"/>
      <c r="F20" s="184" t="s">
        <v>346</v>
      </c>
      <c r="G20" s="185"/>
      <c r="H20" s="27"/>
      <c r="I20" s="27"/>
      <c r="J20" s="61" t="s">
        <v>365</v>
      </c>
      <c r="K20" s="61" t="s">
        <v>366</v>
      </c>
      <c r="L20" s="61" t="s">
        <v>367</v>
      </c>
      <c r="M20" s="61" t="s">
        <v>368</v>
      </c>
      <c r="N20" s="61" t="s">
        <v>369</v>
      </c>
      <c r="O20" s="61" t="s">
        <v>370</v>
      </c>
      <c r="P20" s="52" t="s">
        <v>303</v>
      </c>
      <c r="Q20" s="52" t="s">
        <v>303</v>
      </c>
      <c r="R20" s="52" t="s">
        <v>303</v>
      </c>
      <c r="S20" s="52" t="s">
        <v>303</v>
      </c>
      <c r="T20" s="52" t="s">
        <v>303</v>
      </c>
    </row>
    <row r="21" spans="1:20" ht="62.25" customHeight="1" x14ac:dyDescent="0.25">
      <c r="A21" s="156"/>
      <c r="B21" s="163"/>
      <c r="C21" s="168" t="s">
        <v>43</v>
      </c>
      <c r="D21" s="170" t="s">
        <v>57</v>
      </c>
      <c r="E21" s="9" t="s">
        <v>12</v>
      </c>
      <c r="F21" s="172" t="s">
        <v>49</v>
      </c>
      <c r="G21" s="173"/>
      <c r="H21" s="21" t="s">
        <v>206</v>
      </c>
      <c r="I21" s="21"/>
      <c r="J21" s="21"/>
      <c r="K21" s="21"/>
      <c r="L21" s="25">
        <v>2.9790000000000001</v>
      </c>
      <c r="M21" s="25">
        <v>3.94</v>
      </c>
      <c r="N21" s="25">
        <v>8.73</v>
      </c>
      <c r="O21" s="47">
        <v>6.0200000000000005</v>
      </c>
      <c r="P21" s="140">
        <v>5.94</v>
      </c>
      <c r="Q21" s="140">
        <v>6</v>
      </c>
      <c r="R21" s="140">
        <v>6</v>
      </c>
      <c r="S21" s="63">
        <v>5</v>
      </c>
      <c r="T21" s="142">
        <v>9.92</v>
      </c>
    </row>
    <row r="22" spans="1:20" ht="38.25" x14ac:dyDescent="0.25">
      <c r="A22" s="156"/>
      <c r="B22" s="163"/>
      <c r="C22" s="169"/>
      <c r="D22" s="171"/>
      <c r="E22" s="9" t="s">
        <v>13</v>
      </c>
      <c r="F22" s="172" t="s">
        <v>50</v>
      </c>
      <c r="G22" s="173"/>
      <c r="H22" s="21" t="s">
        <v>207</v>
      </c>
      <c r="I22" s="27" t="s">
        <v>325</v>
      </c>
      <c r="J22" s="27" t="s">
        <v>325</v>
      </c>
      <c r="K22" s="27" t="s">
        <v>325</v>
      </c>
      <c r="L22" s="27" t="s">
        <v>325</v>
      </c>
      <c r="M22" s="27" t="s">
        <v>325</v>
      </c>
      <c r="N22" s="27" t="s">
        <v>325</v>
      </c>
      <c r="O22" s="27" t="s">
        <v>325</v>
      </c>
      <c r="P22" s="46" t="s">
        <v>325</v>
      </c>
      <c r="Q22" s="46" t="s">
        <v>325</v>
      </c>
      <c r="R22" s="46" t="s">
        <v>325</v>
      </c>
      <c r="S22" s="54" t="s">
        <v>325</v>
      </c>
      <c r="T22" s="142"/>
    </row>
    <row r="23" spans="1:20" s="80" customFormat="1" ht="38.25" x14ac:dyDescent="0.25">
      <c r="A23" s="156"/>
      <c r="B23" s="163"/>
      <c r="C23" s="64"/>
      <c r="D23" s="64"/>
      <c r="E23" s="9" t="s">
        <v>15</v>
      </c>
      <c r="F23" s="165" t="s">
        <v>384</v>
      </c>
      <c r="G23" s="166"/>
      <c r="H23" s="21" t="s">
        <v>208</v>
      </c>
      <c r="I23" s="54" t="s">
        <v>332</v>
      </c>
      <c r="J23" s="54" t="s">
        <v>333</v>
      </c>
      <c r="K23" s="54" t="s">
        <v>334</v>
      </c>
      <c r="L23" s="54" t="s">
        <v>335</v>
      </c>
      <c r="M23" s="54" t="s">
        <v>336</v>
      </c>
      <c r="N23" s="54" t="s">
        <v>337</v>
      </c>
      <c r="O23" s="54" t="s">
        <v>338</v>
      </c>
      <c r="P23" s="54" t="s">
        <v>339</v>
      </c>
      <c r="Q23" s="54" t="s">
        <v>340</v>
      </c>
      <c r="R23" s="54" t="s">
        <v>341</v>
      </c>
      <c r="S23" s="70" t="s">
        <v>342</v>
      </c>
      <c r="T23" s="142" t="s">
        <v>440</v>
      </c>
    </row>
    <row r="24" spans="1:20" ht="38.25" x14ac:dyDescent="0.25">
      <c r="A24" s="167"/>
      <c r="B24" s="163"/>
      <c r="C24" s="4"/>
      <c r="D24" s="31"/>
      <c r="E24" s="9" t="s">
        <v>16</v>
      </c>
      <c r="F24" s="165" t="s">
        <v>191</v>
      </c>
      <c r="G24" s="166"/>
      <c r="H24" s="21" t="s">
        <v>211</v>
      </c>
      <c r="I24" s="21">
        <v>85.59</v>
      </c>
      <c r="J24" s="21">
        <v>93.61</v>
      </c>
      <c r="K24" s="21">
        <v>90.41</v>
      </c>
      <c r="L24" s="21">
        <v>90.13</v>
      </c>
      <c r="M24" s="44">
        <v>0.56389999999999996</v>
      </c>
      <c r="N24" s="44">
        <v>0.61499999999999999</v>
      </c>
      <c r="O24" s="40">
        <f>SUM(497/1209)</f>
        <v>0.41108354011579817</v>
      </c>
      <c r="P24" s="46"/>
      <c r="Q24" s="45">
        <v>0.52049999999999996</v>
      </c>
      <c r="R24" s="45">
        <v>0.5071</v>
      </c>
      <c r="S24" s="70">
        <v>0.50719999999999998</v>
      </c>
      <c r="T24" s="144">
        <v>0.55000000000000004</v>
      </c>
    </row>
    <row r="25" spans="1:20" ht="15.75" x14ac:dyDescent="0.25">
      <c r="A25" s="51" t="s">
        <v>302</v>
      </c>
      <c r="B25" s="50"/>
      <c r="C25" s="50"/>
      <c r="D25" s="75"/>
      <c r="E25" s="50"/>
      <c r="F25" s="50"/>
      <c r="G25" s="50"/>
      <c r="H25" s="75"/>
    </row>
  </sheetData>
  <mergeCells count="28">
    <mergeCell ref="A1:S1"/>
    <mergeCell ref="F3:G3"/>
    <mergeCell ref="F11:G11"/>
    <mergeCell ref="F10:G10"/>
    <mergeCell ref="F7:G7"/>
    <mergeCell ref="F8:G8"/>
    <mergeCell ref="C9:C20"/>
    <mergeCell ref="F20:G20"/>
    <mergeCell ref="F17:G17"/>
    <mergeCell ref="F18:G18"/>
    <mergeCell ref="F19:G19"/>
    <mergeCell ref="D9:D20"/>
    <mergeCell ref="F24:G24"/>
    <mergeCell ref="A4:A24"/>
    <mergeCell ref="B4:B24"/>
    <mergeCell ref="C4:C6"/>
    <mergeCell ref="D4:D6"/>
    <mergeCell ref="C21:C22"/>
    <mergeCell ref="D21:D22"/>
    <mergeCell ref="F4:G4"/>
    <mergeCell ref="F6:G6"/>
    <mergeCell ref="F5:G5"/>
    <mergeCell ref="F9:G9"/>
    <mergeCell ref="F12:G16"/>
    <mergeCell ref="E12:E16"/>
    <mergeCell ref="F21:G21"/>
    <mergeCell ref="F22:G22"/>
    <mergeCell ref="F23:G23"/>
  </mergeCells>
  <pageMargins left="0.70866141732283461" right="0.70866141732283461" top="0.74803149606299213" bottom="0.74803149606299213" header="0.31496062992125984" footer="0.31496062992125984"/>
  <pageSetup paperSize="5" scale="52"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499984740745262"/>
  </sheetPr>
  <dimension ref="A2:L12"/>
  <sheetViews>
    <sheetView topLeftCell="B1" zoomScale="80" zoomScaleNormal="80" zoomScaleSheetLayoutView="80" workbookViewId="0">
      <selection activeCell="J10" sqref="J10"/>
    </sheetView>
  </sheetViews>
  <sheetFormatPr baseColWidth="10" defaultRowHeight="12.75" x14ac:dyDescent="0.2"/>
  <cols>
    <col min="1" max="1" width="6" style="1" bestFit="1" customWidth="1"/>
    <col min="2" max="2" width="8.42578125" style="1" bestFit="1" customWidth="1"/>
    <col min="3" max="3" width="12.42578125" style="1" customWidth="1"/>
    <col min="4" max="4" width="26.85546875" style="1" customWidth="1"/>
    <col min="5" max="5" width="11" style="1" bestFit="1" customWidth="1"/>
    <col min="6" max="6" width="26.5703125" style="1" customWidth="1"/>
    <col min="7" max="7" width="25.140625" style="1" customWidth="1"/>
    <col min="8" max="16384" width="11.42578125" style="1"/>
  </cols>
  <sheetData>
    <row r="2" spans="1:12" ht="21.75" customHeight="1" x14ac:dyDescent="0.2">
      <c r="A2" s="159" t="s">
        <v>201</v>
      </c>
      <c r="B2" s="159"/>
      <c r="C2" s="159"/>
      <c r="D2" s="159"/>
      <c r="E2" s="159"/>
      <c r="F2" s="159"/>
      <c r="G2" s="159"/>
    </row>
    <row r="4" spans="1:12" ht="68.25" customHeight="1" x14ac:dyDescent="0.2">
      <c r="A4" s="10" t="s">
        <v>51</v>
      </c>
      <c r="B4" s="11" t="s">
        <v>52</v>
      </c>
      <c r="C4" s="10" t="s">
        <v>72</v>
      </c>
      <c r="D4" s="11" t="s">
        <v>73</v>
      </c>
      <c r="E4" s="18" t="s">
        <v>74</v>
      </c>
      <c r="F4" s="19" t="s">
        <v>75</v>
      </c>
      <c r="G4" s="13" t="s">
        <v>196</v>
      </c>
      <c r="H4" s="13">
        <v>2018</v>
      </c>
      <c r="I4" s="13">
        <v>2019</v>
      </c>
      <c r="J4" s="13">
        <v>2020</v>
      </c>
      <c r="K4" s="13">
        <v>2021</v>
      </c>
      <c r="L4" s="13">
        <v>2022</v>
      </c>
    </row>
    <row r="5" spans="1:12" ht="38.25" x14ac:dyDescent="0.2">
      <c r="A5" s="156" t="s">
        <v>44</v>
      </c>
      <c r="B5" s="157" t="s">
        <v>80</v>
      </c>
      <c r="C5" s="187" t="s">
        <v>3</v>
      </c>
      <c r="D5" s="188" t="s">
        <v>78</v>
      </c>
      <c r="E5" s="9" t="s">
        <v>3</v>
      </c>
      <c r="F5" s="27" t="s">
        <v>180</v>
      </c>
      <c r="G5" s="21" t="s">
        <v>237</v>
      </c>
      <c r="H5" s="64">
        <v>0</v>
      </c>
      <c r="I5" s="64">
        <v>0</v>
      </c>
      <c r="J5" s="64">
        <v>0</v>
      </c>
      <c r="K5" s="64">
        <v>0</v>
      </c>
      <c r="L5" s="64">
        <v>0</v>
      </c>
    </row>
    <row r="6" spans="1:12" ht="38.25" x14ac:dyDescent="0.2">
      <c r="A6" s="156"/>
      <c r="B6" s="157"/>
      <c r="C6" s="188"/>
      <c r="D6" s="188"/>
      <c r="E6" s="9" t="s">
        <v>4</v>
      </c>
      <c r="F6" s="27" t="s">
        <v>76</v>
      </c>
      <c r="G6" s="21" t="s">
        <v>238</v>
      </c>
      <c r="H6" s="64">
        <v>0</v>
      </c>
      <c r="I6" s="64">
        <v>0</v>
      </c>
      <c r="J6" s="64">
        <v>0</v>
      </c>
      <c r="K6" s="64">
        <v>0</v>
      </c>
      <c r="L6" s="64">
        <v>0</v>
      </c>
    </row>
    <row r="7" spans="1:12" ht="25.5" x14ac:dyDescent="0.2">
      <c r="A7" s="156"/>
      <c r="B7" s="157"/>
      <c r="C7" s="15" t="s">
        <v>4</v>
      </c>
      <c r="D7" s="17" t="s">
        <v>79</v>
      </c>
      <c r="E7" s="9" t="s">
        <v>5</v>
      </c>
      <c r="F7" s="59" t="s">
        <v>77</v>
      </c>
      <c r="G7" s="27" t="s">
        <v>438</v>
      </c>
      <c r="H7" s="64">
        <v>26</v>
      </c>
      <c r="I7" s="64">
        <v>42</v>
      </c>
      <c r="J7" s="133">
        <v>7</v>
      </c>
      <c r="K7" s="64">
        <v>11</v>
      </c>
      <c r="L7" s="64">
        <v>60</v>
      </c>
    </row>
    <row r="8" spans="1:12" ht="25.5" x14ac:dyDescent="0.2">
      <c r="A8" s="156"/>
      <c r="B8" s="157"/>
      <c r="C8" s="4"/>
      <c r="D8" s="4"/>
      <c r="E8" s="9" t="s">
        <v>6</v>
      </c>
      <c r="F8" s="59" t="s">
        <v>177</v>
      </c>
      <c r="G8" s="21"/>
      <c r="H8" s="64"/>
      <c r="I8" s="64"/>
      <c r="J8" s="64"/>
      <c r="K8" s="64"/>
      <c r="L8" s="64"/>
    </row>
    <row r="9" spans="1:12" ht="63.75" x14ac:dyDescent="0.2">
      <c r="A9" s="156"/>
      <c r="B9" s="157"/>
      <c r="C9" s="4"/>
      <c r="D9" s="4"/>
      <c r="E9" s="9" t="s">
        <v>7</v>
      </c>
      <c r="F9" s="27" t="s">
        <v>178</v>
      </c>
      <c r="G9" s="27" t="s">
        <v>239</v>
      </c>
      <c r="H9" s="64">
        <v>0</v>
      </c>
      <c r="I9" s="64">
        <v>0</v>
      </c>
      <c r="J9" s="64">
        <v>0</v>
      </c>
      <c r="K9" s="64">
        <v>0</v>
      </c>
      <c r="L9" s="64">
        <v>0</v>
      </c>
    </row>
    <row r="10" spans="1:12" ht="63.75" x14ac:dyDescent="0.2">
      <c r="A10" s="156"/>
      <c r="B10" s="157"/>
      <c r="C10" s="4"/>
      <c r="D10" s="4"/>
      <c r="E10" s="9" t="s">
        <v>8</v>
      </c>
      <c r="F10" s="59" t="s">
        <v>179</v>
      </c>
      <c r="G10" s="27" t="s">
        <v>240</v>
      </c>
      <c r="H10" s="64"/>
      <c r="I10" s="64"/>
      <c r="J10" s="64">
        <v>0</v>
      </c>
      <c r="K10" s="64">
        <v>0</v>
      </c>
      <c r="L10" s="64">
        <v>0</v>
      </c>
    </row>
    <row r="11" spans="1:12" ht="51" x14ac:dyDescent="0.2">
      <c r="A11" s="156"/>
      <c r="B11" s="157"/>
      <c r="C11" s="4"/>
      <c r="D11" s="4"/>
      <c r="E11" s="9" t="s">
        <v>9</v>
      </c>
      <c r="F11" s="27" t="s">
        <v>181</v>
      </c>
      <c r="G11" s="21" t="s">
        <v>241</v>
      </c>
      <c r="H11" s="64"/>
      <c r="I11" s="64"/>
      <c r="J11" s="64">
        <v>8</v>
      </c>
      <c r="K11" s="64">
        <v>0</v>
      </c>
      <c r="L11" s="64">
        <v>0</v>
      </c>
    </row>
    <row r="12" spans="1:12" ht="38.25" x14ac:dyDescent="0.2">
      <c r="A12" s="156"/>
      <c r="B12" s="157"/>
      <c r="C12" s="4"/>
      <c r="D12" s="4"/>
      <c r="E12" s="9" t="s">
        <v>10</v>
      </c>
      <c r="F12" s="59" t="s">
        <v>182</v>
      </c>
      <c r="G12" s="21" t="s">
        <v>242</v>
      </c>
      <c r="H12" s="64"/>
      <c r="I12" s="64"/>
      <c r="J12" s="64">
        <v>65</v>
      </c>
      <c r="K12" s="64">
        <v>0</v>
      </c>
      <c r="L12" s="64">
        <v>0</v>
      </c>
    </row>
  </sheetData>
  <mergeCells count="5">
    <mergeCell ref="C5:C6"/>
    <mergeCell ref="D5:D6"/>
    <mergeCell ref="B5:B12"/>
    <mergeCell ref="A5:A12"/>
    <mergeCell ref="A2:G2"/>
  </mergeCells>
  <phoneticPr fontId="5" type="noConversion"/>
  <printOptions horizontalCentered="1" verticalCentered="1"/>
  <pageMargins left="0.31496062992125984" right="0.31496062992125984" top="0.74803149606299213" bottom="0.74803149606299213" header="0.31496062992125984" footer="0.31496062992125984"/>
  <pageSetup scale="7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pageSetUpPr fitToPage="1"/>
  </sheetPr>
  <dimension ref="A2:S15"/>
  <sheetViews>
    <sheetView topLeftCell="A12" zoomScaleNormal="100" workbookViewId="0">
      <selection activeCell="Q6" sqref="Q6"/>
    </sheetView>
  </sheetViews>
  <sheetFormatPr baseColWidth="10" defaultRowHeight="12.75" x14ac:dyDescent="0.2"/>
  <cols>
    <col min="1" max="1" width="6" style="1" bestFit="1" customWidth="1"/>
    <col min="2" max="2" width="14" style="1" customWidth="1"/>
    <col min="3" max="3" width="8.7109375" style="58" bestFit="1" customWidth="1"/>
    <col min="4" max="4" width="25.85546875" style="1" customWidth="1"/>
    <col min="5" max="5" width="11.140625" style="1" bestFit="1" customWidth="1"/>
    <col min="6" max="6" width="32" style="1" customWidth="1"/>
    <col min="7" max="7" width="22.140625" style="1" customWidth="1"/>
    <col min="8" max="8" width="6.85546875" style="1" bestFit="1" customWidth="1"/>
    <col min="9" max="11" width="7.28515625" style="1" bestFit="1" customWidth="1"/>
    <col min="12" max="15" width="7.5703125" style="1" bestFit="1" customWidth="1"/>
    <col min="16" max="16" width="7.28515625" style="1" bestFit="1" customWidth="1"/>
    <col min="17" max="17" width="7.7109375" style="1" bestFit="1" customWidth="1"/>
    <col min="18" max="18" width="7.5703125" style="1" bestFit="1" customWidth="1"/>
    <col min="19" max="16384" width="11.42578125" style="1"/>
  </cols>
  <sheetData>
    <row r="2" spans="1:19" ht="21.75" customHeight="1" x14ac:dyDescent="0.2">
      <c r="A2" s="159" t="s">
        <v>201</v>
      </c>
      <c r="B2" s="159"/>
      <c r="C2" s="159"/>
      <c r="D2" s="159"/>
      <c r="E2" s="159"/>
      <c r="F2" s="159"/>
      <c r="G2" s="159"/>
      <c r="H2" s="159"/>
      <c r="I2" s="159"/>
      <c r="J2" s="159"/>
      <c r="K2" s="159"/>
      <c r="L2" s="159"/>
      <c r="M2" s="159"/>
      <c r="N2" s="159"/>
    </row>
    <row r="4" spans="1:19" ht="69.75" customHeight="1" x14ac:dyDescent="0.2">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53">
        <v>2022</v>
      </c>
    </row>
    <row r="5" spans="1:19" ht="64.5" customHeight="1" x14ac:dyDescent="0.2">
      <c r="A5" s="163" t="s">
        <v>41</v>
      </c>
      <c r="B5" s="163" t="s">
        <v>59</v>
      </c>
      <c r="C5" s="190" t="s">
        <v>39</v>
      </c>
      <c r="D5" s="189" t="s">
        <v>162</v>
      </c>
      <c r="E5" s="9" t="s">
        <v>3</v>
      </c>
      <c r="F5" s="6" t="s">
        <v>163</v>
      </c>
      <c r="G5" s="6" t="s">
        <v>224</v>
      </c>
      <c r="H5" s="4">
        <v>0</v>
      </c>
      <c r="I5" s="4">
        <v>0</v>
      </c>
      <c r="J5" s="4">
        <v>0</v>
      </c>
      <c r="K5" s="4">
        <v>0</v>
      </c>
      <c r="L5" s="4">
        <v>0</v>
      </c>
      <c r="M5" s="4">
        <v>0</v>
      </c>
      <c r="N5" s="4">
        <v>0</v>
      </c>
      <c r="O5" s="4">
        <v>0</v>
      </c>
      <c r="P5" s="4">
        <v>0</v>
      </c>
      <c r="Q5" s="4">
        <v>0</v>
      </c>
      <c r="R5" s="4">
        <v>0</v>
      </c>
      <c r="S5" s="4">
        <v>0</v>
      </c>
    </row>
    <row r="6" spans="1:19" ht="72.75" customHeight="1" x14ac:dyDescent="0.2">
      <c r="A6" s="163"/>
      <c r="B6" s="163"/>
      <c r="C6" s="190"/>
      <c r="D6" s="189"/>
      <c r="E6" s="9" t="s">
        <v>4</v>
      </c>
      <c r="F6" s="6" t="s">
        <v>164</v>
      </c>
      <c r="G6" s="6" t="s">
        <v>406</v>
      </c>
      <c r="H6" s="29">
        <f>206/6303*100</f>
        <v>3.2682849436776138</v>
      </c>
      <c r="I6" s="29">
        <f>198/685*100</f>
        <v>28.905109489051096</v>
      </c>
      <c r="J6" s="29">
        <f>201/6273*100</f>
        <v>3.2042085126733619</v>
      </c>
      <c r="K6" s="29">
        <f>247/6265*100</f>
        <v>3.9425379090183559</v>
      </c>
      <c r="L6" s="29">
        <v>6.7</v>
      </c>
      <c r="M6" s="29">
        <f>SUM(234/6260)*100</f>
        <v>3.7380191693290739</v>
      </c>
      <c r="N6" s="29">
        <f>SUM(234/6261)*100</f>
        <v>3.7374221370388114</v>
      </c>
      <c r="O6" s="4">
        <v>0.19</v>
      </c>
      <c r="P6" s="48" t="s">
        <v>304</v>
      </c>
      <c r="Q6" s="48" t="s">
        <v>295</v>
      </c>
      <c r="R6" s="48" t="s">
        <v>295</v>
      </c>
      <c r="S6" s="48" t="s">
        <v>295</v>
      </c>
    </row>
    <row r="7" spans="1:19" ht="57.75" customHeight="1" x14ac:dyDescent="0.2">
      <c r="A7" s="163"/>
      <c r="B7" s="163"/>
      <c r="C7" s="190"/>
      <c r="D7" s="189"/>
      <c r="E7" s="9" t="s">
        <v>5</v>
      </c>
      <c r="F7" s="6" t="s">
        <v>165</v>
      </c>
      <c r="G7" s="6" t="s">
        <v>225</v>
      </c>
      <c r="H7" s="4">
        <v>0</v>
      </c>
      <c r="I7" s="4">
        <v>0</v>
      </c>
      <c r="J7" s="4">
        <v>0</v>
      </c>
      <c r="K7" s="4">
        <v>0</v>
      </c>
      <c r="L7" s="4">
        <v>0</v>
      </c>
      <c r="M7" s="4">
        <v>0</v>
      </c>
      <c r="N7" s="4">
        <v>0</v>
      </c>
      <c r="O7" s="4">
        <v>0</v>
      </c>
      <c r="P7" s="4">
        <v>0</v>
      </c>
      <c r="Q7" s="4">
        <v>0</v>
      </c>
      <c r="R7" s="4">
        <v>0</v>
      </c>
      <c r="S7" s="4">
        <v>0</v>
      </c>
    </row>
    <row r="8" spans="1:19" ht="54.75" customHeight="1" x14ac:dyDescent="0.2">
      <c r="A8" s="163"/>
      <c r="B8" s="163"/>
      <c r="C8" s="190"/>
      <c r="D8" s="189"/>
      <c r="E8" s="9" t="s">
        <v>6</v>
      </c>
      <c r="F8" s="6" t="s">
        <v>166</v>
      </c>
      <c r="G8" s="3" t="s">
        <v>226</v>
      </c>
      <c r="H8" s="56">
        <f>3913/6303*100</f>
        <v>62.08154846898303</v>
      </c>
      <c r="I8" s="57">
        <f>SUM(3845/6285)*100</f>
        <v>61.177406523468584</v>
      </c>
      <c r="J8" s="56">
        <f>3695/6273*100</f>
        <v>58.903236091184439</v>
      </c>
      <c r="K8" s="56">
        <f>3889/6265*100</f>
        <v>62.075019952114928</v>
      </c>
      <c r="L8" s="121" t="s">
        <v>303</v>
      </c>
      <c r="M8" s="57" t="s">
        <v>296</v>
      </c>
      <c r="N8" s="56">
        <f>SUM(5914/6261)*100</f>
        <v>94.45775435233989</v>
      </c>
      <c r="O8" s="49">
        <v>86.37</v>
      </c>
      <c r="P8" s="49" t="s">
        <v>296</v>
      </c>
      <c r="Q8" s="48" t="s">
        <v>296</v>
      </c>
      <c r="R8" s="48" t="s">
        <v>296</v>
      </c>
      <c r="S8" s="48" t="s">
        <v>296</v>
      </c>
    </row>
    <row r="9" spans="1:19" ht="53.25" customHeight="1" x14ac:dyDescent="0.2">
      <c r="A9" s="163"/>
      <c r="B9" s="163"/>
      <c r="C9" s="190"/>
      <c r="D9" s="189"/>
      <c r="E9" s="9" t="s">
        <v>7</v>
      </c>
      <c r="F9" s="6" t="s">
        <v>167</v>
      </c>
      <c r="G9" s="3" t="s">
        <v>227</v>
      </c>
      <c r="H9" s="4">
        <v>0</v>
      </c>
      <c r="I9" s="4">
        <v>0</v>
      </c>
      <c r="J9" s="4">
        <v>0</v>
      </c>
      <c r="K9" s="4">
        <v>0</v>
      </c>
      <c r="L9" s="4">
        <v>0</v>
      </c>
      <c r="M9" s="4">
        <v>0</v>
      </c>
      <c r="N9" s="4">
        <v>0</v>
      </c>
      <c r="O9" s="4">
        <v>0</v>
      </c>
      <c r="P9" s="4">
        <v>0</v>
      </c>
      <c r="Q9" s="4">
        <v>0</v>
      </c>
      <c r="R9" s="4">
        <v>0</v>
      </c>
      <c r="S9" s="4">
        <v>0</v>
      </c>
    </row>
    <row r="10" spans="1:19" ht="45.75" customHeight="1" x14ac:dyDescent="0.2">
      <c r="A10" s="163"/>
      <c r="B10" s="163"/>
      <c r="C10" s="9" t="s">
        <v>40</v>
      </c>
      <c r="D10" s="14" t="s">
        <v>168</v>
      </c>
      <c r="E10" s="9" t="s">
        <v>8</v>
      </c>
      <c r="F10" s="6" t="s">
        <v>169</v>
      </c>
      <c r="G10" s="3"/>
      <c r="H10" s="4">
        <v>4.8600000000000003</v>
      </c>
      <c r="I10" s="4">
        <v>3</v>
      </c>
      <c r="J10" s="4">
        <v>3</v>
      </c>
      <c r="K10" s="4">
        <v>8.7200000000000006</v>
      </c>
      <c r="L10" s="4">
        <v>1.94</v>
      </c>
      <c r="M10" s="4">
        <v>2.4</v>
      </c>
      <c r="N10" s="4">
        <v>7.84</v>
      </c>
      <c r="O10" s="4">
        <v>2.2000000000000002</v>
      </c>
      <c r="P10" s="4">
        <v>2.2000000000000002</v>
      </c>
      <c r="Q10" s="4">
        <v>6.54</v>
      </c>
      <c r="R10" s="4">
        <v>3.02</v>
      </c>
      <c r="S10" s="4">
        <v>3.38</v>
      </c>
    </row>
    <row r="11" spans="1:19" ht="38.25" x14ac:dyDescent="0.2">
      <c r="A11" s="163"/>
      <c r="B11" s="163"/>
      <c r="C11" s="9" t="s">
        <v>41</v>
      </c>
      <c r="D11" s="14" t="s">
        <v>170</v>
      </c>
      <c r="E11" s="9" t="s">
        <v>9</v>
      </c>
      <c r="F11" s="6" t="s">
        <v>171</v>
      </c>
      <c r="G11" s="3"/>
      <c r="H11" s="4">
        <v>0</v>
      </c>
      <c r="I11" s="4">
        <v>0</v>
      </c>
      <c r="J11" s="4">
        <v>0</v>
      </c>
      <c r="K11" s="4">
        <v>0</v>
      </c>
      <c r="L11" s="4">
        <v>0</v>
      </c>
      <c r="M11" s="4">
        <v>0</v>
      </c>
      <c r="N11" s="4">
        <v>0</v>
      </c>
      <c r="O11" s="4">
        <v>0</v>
      </c>
      <c r="P11" s="4">
        <v>0</v>
      </c>
      <c r="Q11" s="4">
        <v>0</v>
      </c>
      <c r="R11" s="4">
        <v>0</v>
      </c>
      <c r="S11" s="4">
        <v>0</v>
      </c>
    </row>
    <row r="12" spans="1:19" ht="127.5" customHeight="1" x14ac:dyDescent="0.2">
      <c r="A12" s="163"/>
      <c r="B12" s="163"/>
      <c r="C12" s="9" t="s">
        <v>42</v>
      </c>
      <c r="D12" s="14" t="s">
        <v>195</v>
      </c>
      <c r="E12" s="9" t="s">
        <v>10</v>
      </c>
      <c r="F12" s="6" t="s">
        <v>172</v>
      </c>
      <c r="G12" s="7" t="s">
        <v>228</v>
      </c>
      <c r="H12" s="121" t="s">
        <v>303</v>
      </c>
      <c r="I12" s="4">
        <f>2223.63/2223.63*100</f>
        <v>100</v>
      </c>
      <c r="J12" s="4">
        <f>1514.8/1514.8*100</f>
        <v>100</v>
      </c>
      <c r="K12" s="4">
        <f>1665.6/1665.6*100</f>
        <v>100</v>
      </c>
      <c r="L12" s="4">
        <v>100</v>
      </c>
      <c r="M12" s="4">
        <v>100</v>
      </c>
      <c r="N12" s="4">
        <f>SUM(2100/2100)*100</f>
        <v>100</v>
      </c>
      <c r="O12" s="4">
        <v>100</v>
      </c>
      <c r="P12" s="4">
        <v>100</v>
      </c>
      <c r="Q12" s="4">
        <v>100</v>
      </c>
      <c r="R12" s="4">
        <v>100</v>
      </c>
      <c r="S12" s="4">
        <v>100</v>
      </c>
    </row>
    <row r="13" spans="1:19" ht="69.75" customHeight="1" x14ac:dyDescent="0.2">
      <c r="A13" s="163"/>
      <c r="B13" s="163"/>
      <c r="C13" s="16" t="s">
        <v>43</v>
      </c>
      <c r="D13" s="14" t="s">
        <v>173</v>
      </c>
      <c r="E13" s="9" t="s">
        <v>11</v>
      </c>
      <c r="F13" s="6" t="s">
        <v>174</v>
      </c>
      <c r="G13" s="3"/>
      <c r="H13" s="4">
        <v>11768</v>
      </c>
      <c r="I13" s="4">
        <v>11801</v>
      </c>
      <c r="J13" s="4">
        <v>11873</v>
      </c>
      <c r="K13" s="4">
        <v>11781</v>
      </c>
      <c r="L13" s="4">
        <v>11893</v>
      </c>
      <c r="M13" s="4">
        <v>11876</v>
      </c>
      <c r="N13" s="4">
        <v>12008</v>
      </c>
      <c r="O13" s="4">
        <v>12066</v>
      </c>
      <c r="P13" s="4">
        <v>12154</v>
      </c>
      <c r="Q13" s="4">
        <v>12259</v>
      </c>
      <c r="R13" s="4">
        <v>12405</v>
      </c>
      <c r="S13" s="4">
        <v>12570</v>
      </c>
    </row>
    <row r="14" spans="1:19" ht="45.75" customHeight="1" x14ac:dyDescent="0.2">
      <c r="A14" s="163"/>
      <c r="B14" s="163"/>
      <c r="C14" s="191" t="s">
        <v>44</v>
      </c>
      <c r="D14" s="189" t="s">
        <v>176</v>
      </c>
      <c r="E14" s="9" t="s">
        <v>12</v>
      </c>
      <c r="F14" s="6" t="s">
        <v>175</v>
      </c>
      <c r="G14" s="3" t="s">
        <v>216</v>
      </c>
      <c r="H14" s="4">
        <v>24</v>
      </c>
      <c r="I14" s="4">
        <v>24</v>
      </c>
      <c r="J14" s="4">
        <v>24</v>
      </c>
      <c r="K14" s="4">
        <v>24</v>
      </c>
      <c r="L14" s="4">
        <v>24</v>
      </c>
      <c r="M14" s="4">
        <v>24</v>
      </c>
      <c r="N14" s="4">
        <v>24</v>
      </c>
      <c r="O14" s="4">
        <v>24</v>
      </c>
      <c r="P14" s="4">
        <v>24</v>
      </c>
      <c r="Q14" s="4">
        <v>24</v>
      </c>
      <c r="R14" s="4">
        <v>24</v>
      </c>
      <c r="S14" s="4">
        <v>24</v>
      </c>
    </row>
    <row r="15" spans="1:19" ht="43.5" customHeight="1" x14ac:dyDescent="0.2">
      <c r="A15" s="163"/>
      <c r="B15" s="163"/>
      <c r="C15" s="191"/>
      <c r="D15" s="189"/>
      <c r="E15" s="9" t="s">
        <v>13</v>
      </c>
      <c r="F15" s="6" t="s">
        <v>229</v>
      </c>
      <c r="G15" s="3" t="s">
        <v>216</v>
      </c>
      <c r="H15" s="4">
        <v>24</v>
      </c>
      <c r="I15" s="4">
        <v>24</v>
      </c>
      <c r="J15" s="4">
        <v>24</v>
      </c>
      <c r="K15" s="4">
        <v>24</v>
      </c>
      <c r="L15" s="4">
        <v>24</v>
      </c>
      <c r="M15" s="4">
        <v>24</v>
      </c>
      <c r="N15" s="4">
        <v>24</v>
      </c>
      <c r="O15" s="4">
        <v>24</v>
      </c>
      <c r="P15" s="4">
        <v>24</v>
      </c>
      <c r="Q15" s="4">
        <v>24</v>
      </c>
      <c r="R15" s="4">
        <v>24</v>
      </c>
      <c r="S15" s="4">
        <v>24</v>
      </c>
    </row>
  </sheetData>
  <mergeCells count="7">
    <mergeCell ref="A2:N2"/>
    <mergeCell ref="A5:A15"/>
    <mergeCell ref="D5:D9"/>
    <mergeCell ref="C5:C9"/>
    <mergeCell ref="C14:C15"/>
    <mergeCell ref="D14:D15"/>
    <mergeCell ref="B5:B15"/>
  </mergeCells>
  <phoneticPr fontId="5" type="noConversion"/>
  <printOptions horizontalCentered="1" verticalCentered="1"/>
  <pageMargins left="0.70866141732283472" right="0.51181102362204722" top="0.74803149606299213" bottom="0.74803149606299213" header="0.31496062992125984" footer="0.31496062992125984"/>
  <pageSetup paperSize="5" scale="6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499984740745262"/>
  </sheetPr>
  <dimension ref="A2:S16"/>
  <sheetViews>
    <sheetView topLeftCell="F8" zoomScale="85" zoomScaleNormal="85" zoomScaleSheetLayoutView="80" workbookViewId="0">
      <selection activeCell="Q17" sqref="Q17"/>
    </sheetView>
  </sheetViews>
  <sheetFormatPr baseColWidth="10" defaultRowHeight="12.75" x14ac:dyDescent="0.2"/>
  <cols>
    <col min="1" max="1" width="5.7109375" style="1" bestFit="1" customWidth="1"/>
    <col min="2" max="2" width="11.140625" style="1" customWidth="1"/>
    <col min="3" max="3" width="8.140625" style="1" bestFit="1" customWidth="1"/>
    <col min="4" max="4" width="27.28515625" style="1" customWidth="1"/>
    <col min="5" max="5" width="12.140625" style="1" customWidth="1"/>
    <col min="6" max="6" width="25.140625" style="1" customWidth="1"/>
    <col min="7" max="7" width="29.140625" style="1" customWidth="1"/>
    <col min="8" max="16384" width="11.42578125" style="1"/>
  </cols>
  <sheetData>
    <row r="2" spans="1:19" ht="21.75" customHeight="1" x14ac:dyDescent="0.2">
      <c r="A2" s="159" t="s">
        <v>201</v>
      </c>
      <c r="B2" s="159"/>
      <c r="C2" s="159"/>
      <c r="D2" s="159"/>
      <c r="E2" s="159"/>
      <c r="F2" s="159"/>
      <c r="G2" s="159"/>
      <c r="H2" s="159"/>
      <c r="I2" s="159"/>
      <c r="J2" s="159"/>
      <c r="K2" s="159"/>
      <c r="L2" s="159"/>
      <c r="M2" s="159"/>
      <c r="N2" s="159"/>
    </row>
    <row r="4" spans="1:19" ht="69.75" customHeight="1" x14ac:dyDescent="0.2">
      <c r="A4" s="34" t="s">
        <v>51</v>
      </c>
      <c r="B4" s="35" t="s">
        <v>52</v>
      </c>
      <c r="C4" s="34"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53">
        <v>2022</v>
      </c>
    </row>
    <row r="5" spans="1:19" ht="54.75" customHeight="1" x14ac:dyDescent="0.2">
      <c r="A5" s="192">
        <v>11</v>
      </c>
      <c r="B5" s="192" t="s">
        <v>101</v>
      </c>
      <c r="C5" s="196" t="s">
        <v>3</v>
      </c>
      <c r="D5" s="163" t="s">
        <v>102</v>
      </c>
      <c r="E5" s="5" t="s">
        <v>3</v>
      </c>
      <c r="F5" s="6" t="s">
        <v>103</v>
      </c>
      <c r="G5" s="6" t="s">
        <v>248</v>
      </c>
      <c r="H5" s="112">
        <v>1</v>
      </c>
      <c r="I5" s="112">
        <v>1</v>
      </c>
      <c r="J5" s="112">
        <v>1</v>
      </c>
      <c r="K5" s="112">
        <v>1</v>
      </c>
      <c r="L5" s="112">
        <v>1</v>
      </c>
      <c r="M5" s="112">
        <v>1</v>
      </c>
      <c r="N5" s="112">
        <f>SUM(3465/3465)</f>
        <v>1</v>
      </c>
      <c r="O5" s="112">
        <f>SUM(3465/3465)</f>
        <v>1</v>
      </c>
      <c r="P5" s="112">
        <f>SUM(3465/3465)</f>
        <v>1</v>
      </c>
      <c r="Q5" s="112">
        <v>1</v>
      </c>
      <c r="R5" s="112">
        <v>1</v>
      </c>
      <c r="S5" s="112">
        <v>1</v>
      </c>
    </row>
    <row r="6" spans="1:19" ht="58.5" customHeight="1" x14ac:dyDescent="0.2">
      <c r="A6" s="193"/>
      <c r="B6" s="193"/>
      <c r="C6" s="197"/>
      <c r="D6" s="163"/>
      <c r="E6" s="96" t="s">
        <v>4</v>
      </c>
      <c r="F6" s="97" t="s">
        <v>104</v>
      </c>
      <c r="G6" s="97" t="s">
        <v>249</v>
      </c>
      <c r="H6" s="64"/>
      <c r="I6" s="65">
        <f>2/3033*100</f>
        <v>6.5941312232113414E-2</v>
      </c>
      <c r="J6" s="65">
        <f>4.9/3034*100</f>
        <v>0.16150296638101516</v>
      </c>
      <c r="K6" s="65"/>
      <c r="L6" s="65"/>
      <c r="M6" s="138">
        <v>2.5000000000000001E-3</v>
      </c>
      <c r="N6" s="65">
        <f>SUM(12.5/3465)*100</f>
        <v>0.36075036075036077</v>
      </c>
      <c r="O6" s="67">
        <f>(10.7/537)*100</f>
        <v>1.9925512104283054</v>
      </c>
      <c r="P6" s="67">
        <f>(16.39/2287)*100</f>
        <v>0.7166593790992567</v>
      </c>
      <c r="Q6" s="67">
        <f>(12.5/2287)*100</f>
        <v>0.54656755574989069</v>
      </c>
      <c r="R6" s="67">
        <f>(28/2328)*100</f>
        <v>1.202749140893471</v>
      </c>
      <c r="S6" s="134">
        <f>15.5/2328</f>
        <v>6.6580756013745702E-3</v>
      </c>
    </row>
    <row r="7" spans="1:19" ht="69" customHeight="1" x14ac:dyDescent="0.2">
      <c r="A7" s="193"/>
      <c r="B7" s="193"/>
      <c r="C7" s="37" t="s">
        <v>4</v>
      </c>
      <c r="D7" s="97" t="s">
        <v>105</v>
      </c>
      <c r="E7" s="5" t="s">
        <v>5</v>
      </c>
      <c r="F7" s="97" t="s">
        <v>106</v>
      </c>
      <c r="G7" s="97" t="s">
        <v>438</v>
      </c>
      <c r="H7" s="64"/>
      <c r="I7" s="64">
        <v>12</v>
      </c>
      <c r="J7" s="64">
        <v>11</v>
      </c>
      <c r="K7" s="64">
        <v>8</v>
      </c>
      <c r="L7" s="64"/>
      <c r="M7" s="64">
        <v>5</v>
      </c>
      <c r="N7" s="64">
        <v>5</v>
      </c>
      <c r="O7" s="64">
        <v>6</v>
      </c>
      <c r="P7" s="64">
        <v>6</v>
      </c>
      <c r="Q7" s="64">
        <v>9</v>
      </c>
      <c r="R7" s="64"/>
      <c r="S7" s="64">
        <v>1</v>
      </c>
    </row>
    <row r="8" spans="1:19" ht="25.5" x14ac:dyDescent="0.2">
      <c r="A8" s="193"/>
      <c r="B8" s="193"/>
      <c r="C8" s="196" t="s">
        <v>5</v>
      </c>
      <c r="D8" s="163" t="s">
        <v>107</v>
      </c>
      <c r="E8" s="96" t="s">
        <v>6</v>
      </c>
      <c r="F8" s="6" t="s">
        <v>108</v>
      </c>
      <c r="G8" s="4" t="s">
        <v>216</v>
      </c>
      <c r="H8" s="64">
        <v>0</v>
      </c>
      <c r="I8" s="64">
        <v>0</v>
      </c>
      <c r="J8" s="64">
        <v>0</v>
      </c>
      <c r="K8" s="64">
        <v>0</v>
      </c>
      <c r="L8" s="64">
        <v>0</v>
      </c>
      <c r="M8" s="64">
        <v>0</v>
      </c>
      <c r="N8" s="64">
        <v>0</v>
      </c>
      <c r="O8" s="64">
        <v>0</v>
      </c>
      <c r="P8" s="64">
        <v>0</v>
      </c>
      <c r="Q8" s="64">
        <v>0</v>
      </c>
      <c r="R8" s="64">
        <v>0</v>
      </c>
      <c r="S8" s="64">
        <v>0</v>
      </c>
    </row>
    <row r="9" spans="1:19" ht="54" customHeight="1" x14ac:dyDescent="0.2">
      <c r="A9" s="193"/>
      <c r="B9" s="193"/>
      <c r="C9" s="197"/>
      <c r="D9" s="163"/>
      <c r="E9" s="5" t="s">
        <v>7</v>
      </c>
      <c r="F9" s="94" t="s">
        <v>109</v>
      </c>
      <c r="G9" s="94" t="s">
        <v>250</v>
      </c>
      <c r="H9" s="64">
        <v>0</v>
      </c>
      <c r="I9" s="64">
        <v>0</v>
      </c>
      <c r="J9" s="64">
        <v>0</v>
      </c>
      <c r="K9" s="64">
        <v>0</v>
      </c>
      <c r="L9" s="64"/>
      <c r="M9" s="64">
        <v>0</v>
      </c>
      <c r="N9" s="64">
        <v>0</v>
      </c>
      <c r="O9" s="64">
        <v>0</v>
      </c>
      <c r="P9" s="64">
        <v>0</v>
      </c>
      <c r="Q9" s="64">
        <v>0</v>
      </c>
      <c r="R9" s="64">
        <v>0</v>
      </c>
      <c r="S9" s="64">
        <v>0</v>
      </c>
    </row>
    <row r="10" spans="1:19" ht="25.5" x14ac:dyDescent="0.2">
      <c r="A10" s="193"/>
      <c r="B10" s="193"/>
      <c r="C10" s="197"/>
      <c r="D10" s="163"/>
      <c r="E10" s="96" t="s">
        <v>8</v>
      </c>
      <c r="F10" s="97" t="s">
        <v>110</v>
      </c>
      <c r="G10" s="4" t="s">
        <v>216</v>
      </c>
      <c r="H10" s="64">
        <v>0</v>
      </c>
      <c r="I10" s="64">
        <v>0</v>
      </c>
      <c r="J10" s="64">
        <v>0</v>
      </c>
      <c r="K10" s="64">
        <v>0</v>
      </c>
      <c r="L10" s="64"/>
      <c r="M10" s="64">
        <v>0</v>
      </c>
      <c r="N10" s="64">
        <v>0</v>
      </c>
      <c r="O10" s="64">
        <v>0</v>
      </c>
      <c r="P10" s="64">
        <v>0</v>
      </c>
      <c r="Q10" s="64">
        <v>0</v>
      </c>
      <c r="R10" s="64">
        <v>0</v>
      </c>
      <c r="S10" s="64">
        <v>0</v>
      </c>
    </row>
    <row r="11" spans="1:19" ht="30.75" customHeight="1" x14ac:dyDescent="0.2">
      <c r="A11" s="193"/>
      <c r="B11" s="193"/>
      <c r="C11" s="197"/>
      <c r="D11" s="163"/>
      <c r="E11" s="5" t="s">
        <v>9</v>
      </c>
      <c r="F11" s="6" t="s">
        <v>111</v>
      </c>
      <c r="G11" s="4"/>
      <c r="H11" s="64">
        <v>0</v>
      </c>
      <c r="I11" s="64">
        <v>0</v>
      </c>
      <c r="J11" s="64">
        <v>0</v>
      </c>
      <c r="K11" s="64">
        <v>0</v>
      </c>
      <c r="L11" s="64"/>
      <c r="M11" s="64">
        <v>0</v>
      </c>
      <c r="N11" s="64">
        <v>0</v>
      </c>
      <c r="O11" s="64">
        <v>0</v>
      </c>
      <c r="P11" s="64">
        <v>0</v>
      </c>
      <c r="Q11" s="64">
        <v>0</v>
      </c>
      <c r="R11" s="64">
        <v>0</v>
      </c>
      <c r="S11" s="64">
        <v>0</v>
      </c>
    </row>
    <row r="12" spans="1:19" ht="25.5" x14ac:dyDescent="0.2">
      <c r="A12" s="193"/>
      <c r="B12" s="193"/>
      <c r="C12" s="197"/>
      <c r="D12" s="163"/>
      <c r="E12" s="96" t="s">
        <v>10</v>
      </c>
      <c r="F12" s="6" t="s">
        <v>112</v>
      </c>
      <c r="G12" s="4"/>
      <c r="H12" s="64">
        <v>0</v>
      </c>
      <c r="I12" s="64">
        <v>0</v>
      </c>
      <c r="J12" s="64">
        <v>0</v>
      </c>
      <c r="K12" s="64">
        <v>0</v>
      </c>
      <c r="L12" s="64"/>
      <c r="M12" s="64">
        <v>0</v>
      </c>
      <c r="N12" s="64">
        <v>0</v>
      </c>
      <c r="O12" s="64">
        <v>0</v>
      </c>
      <c r="P12" s="64">
        <v>0</v>
      </c>
      <c r="Q12" s="64">
        <v>0</v>
      </c>
      <c r="R12" s="64">
        <v>0</v>
      </c>
      <c r="S12" s="64">
        <v>0</v>
      </c>
    </row>
    <row r="13" spans="1:19" ht="25.5" x14ac:dyDescent="0.2">
      <c r="A13" s="193"/>
      <c r="B13" s="193"/>
      <c r="C13" s="197"/>
      <c r="D13" s="163"/>
      <c r="E13" s="5" t="s">
        <v>11</v>
      </c>
      <c r="F13" s="6" t="s">
        <v>113</v>
      </c>
      <c r="G13" s="4"/>
      <c r="H13" s="64">
        <v>0</v>
      </c>
      <c r="I13" s="64">
        <v>0</v>
      </c>
      <c r="J13" s="64">
        <v>0</v>
      </c>
      <c r="K13" s="64">
        <v>0</v>
      </c>
      <c r="L13" s="64"/>
      <c r="M13" s="64">
        <v>0</v>
      </c>
      <c r="N13" s="64">
        <v>0</v>
      </c>
      <c r="O13" s="64">
        <v>0</v>
      </c>
      <c r="P13" s="64">
        <v>0</v>
      </c>
      <c r="Q13" s="64">
        <v>0</v>
      </c>
      <c r="R13" s="64">
        <v>0</v>
      </c>
      <c r="S13" s="64">
        <v>0</v>
      </c>
    </row>
    <row r="14" spans="1:19" ht="62.25" customHeight="1" x14ac:dyDescent="0.2">
      <c r="A14" s="193"/>
      <c r="B14" s="193"/>
      <c r="C14" s="36" t="s">
        <v>7</v>
      </c>
      <c r="D14" s="6"/>
      <c r="E14" s="5" t="s">
        <v>13</v>
      </c>
      <c r="F14" s="6" t="s">
        <v>114</v>
      </c>
      <c r="G14" s="6" t="s">
        <v>252</v>
      </c>
      <c r="H14" s="64">
        <f>5/5*100</f>
        <v>100</v>
      </c>
      <c r="I14" s="64">
        <f>5/5*100</f>
        <v>100</v>
      </c>
      <c r="J14" s="64">
        <f>5/5*100</f>
        <v>100</v>
      </c>
      <c r="K14" s="64">
        <f>5/5*100</f>
        <v>100</v>
      </c>
      <c r="L14" s="64">
        <v>100</v>
      </c>
      <c r="M14" s="64">
        <v>100</v>
      </c>
      <c r="N14" s="64">
        <f>5/5*100</f>
        <v>100</v>
      </c>
      <c r="O14" s="64">
        <v>75</v>
      </c>
      <c r="P14" s="64">
        <v>75</v>
      </c>
      <c r="Q14" s="64">
        <v>75</v>
      </c>
      <c r="R14" s="64">
        <v>75</v>
      </c>
      <c r="S14" s="64">
        <v>75</v>
      </c>
    </row>
    <row r="15" spans="1:19" ht="73.5" customHeight="1" x14ac:dyDescent="0.2">
      <c r="A15" s="195"/>
      <c r="B15" s="194"/>
      <c r="C15" s="38"/>
      <c r="D15" s="4"/>
      <c r="E15" s="5" t="s">
        <v>14</v>
      </c>
      <c r="F15" s="6" t="s">
        <v>183</v>
      </c>
      <c r="G15" s="6" t="s">
        <v>253</v>
      </c>
      <c r="H15" s="64"/>
      <c r="I15" s="64"/>
      <c r="J15" s="137">
        <f>1.28/4793*100</f>
        <v>2.670561235134571E-2</v>
      </c>
      <c r="K15" s="137">
        <f>1.1/4793*100</f>
        <v>2.2950135614437723E-2</v>
      </c>
      <c r="L15" s="64"/>
      <c r="M15" s="64">
        <v>12</v>
      </c>
      <c r="N15" s="65">
        <f>SUM(12.5/4102)*100</f>
        <v>0.30472940029254025</v>
      </c>
      <c r="O15" s="65">
        <v>0.24929999999999999</v>
      </c>
      <c r="P15" s="65">
        <f>SUM(19/4102)*100</f>
        <v>0.46318868844466116</v>
      </c>
      <c r="Q15" s="111">
        <f>SUM(1/12.5)*100</f>
        <v>8</v>
      </c>
      <c r="R15" s="64">
        <v>15.5</v>
      </c>
      <c r="S15" s="64">
        <v>15.5</v>
      </c>
    </row>
    <row r="16" spans="1:19" x14ac:dyDescent="0.2">
      <c r="A16" s="39"/>
      <c r="B16" s="39"/>
      <c r="C16" s="39"/>
      <c r="D16" s="39"/>
      <c r="E16" s="39"/>
      <c r="F16" s="39"/>
      <c r="G16" s="39"/>
    </row>
  </sheetData>
  <mergeCells count="7">
    <mergeCell ref="A2:N2"/>
    <mergeCell ref="B5:B15"/>
    <mergeCell ref="A5:A15"/>
    <mergeCell ref="C5:C6"/>
    <mergeCell ref="D5:D6"/>
    <mergeCell ref="C8:C13"/>
    <mergeCell ref="D8:D13"/>
  </mergeCells>
  <phoneticPr fontId="5" type="noConversion"/>
  <printOptions horizontalCentered="1" verticalCentered="1"/>
  <pageMargins left="0.31496062992125984" right="0.31496062992125984" top="0.74803149606299213" bottom="0.74803149606299213" header="0.31496062992125984" footer="0.31496062992125984"/>
  <pageSetup scale="7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499984740745262"/>
    <pageSetUpPr fitToPage="1"/>
  </sheetPr>
  <dimension ref="A1:Z32"/>
  <sheetViews>
    <sheetView topLeftCell="D4" zoomScaleNormal="100" zoomScaleSheetLayoutView="90" workbookViewId="0">
      <selection activeCell="S6" sqref="S6"/>
    </sheetView>
  </sheetViews>
  <sheetFormatPr baseColWidth="10" defaultRowHeight="12.75" x14ac:dyDescent="0.2"/>
  <cols>
    <col min="1" max="1" width="5.7109375" style="1" bestFit="1" customWidth="1"/>
    <col min="2" max="2" width="8.42578125" style="1" customWidth="1"/>
    <col min="3" max="3" width="12.28515625" style="1" customWidth="1"/>
    <col min="4" max="4" width="30" style="1" customWidth="1"/>
    <col min="5" max="5" width="10.85546875" style="1" customWidth="1"/>
    <col min="6" max="6" width="36.7109375" style="1" bestFit="1" customWidth="1"/>
    <col min="7" max="7" width="33.140625" style="1" customWidth="1"/>
    <col min="8" max="8" width="6.42578125" style="1" bestFit="1" customWidth="1"/>
    <col min="9" max="9" width="7.28515625" style="1" bestFit="1" customWidth="1"/>
    <col min="10" max="11" width="6.85546875" style="1" bestFit="1" customWidth="1"/>
    <col min="12" max="13" width="7.28515625" style="1" bestFit="1" customWidth="1"/>
    <col min="14" max="14" width="6.42578125" style="1" bestFit="1" customWidth="1"/>
    <col min="15" max="15" width="7.28515625" style="1" bestFit="1" customWidth="1"/>
    <col min="16" max="16" width="7.42578125" style="1" bestFit="1" customWidth="1"/>
    <col min="17" max="17" width="6.85546875" style="1" bestFit="1" customWidth="1"/>
    <col min="18" max="18" width="7.28515625" style="1" bestFit="1" customWidth="1"/>
    <col min="19" max="16384" width="11.42578125" style="1"/>
  </cols>
  <sheetData>
    <row r="1" spans="1:19" customFormat="1" ht="15" x14ac:dyDescent="0.25"/>
    <row r="2" spans="1:19" ht="18.75" customHeight="1" x14ac:dyDescent="0.2">
      <c r="A2" s="93"/>
      <c r="B2" s="93"/>
      <c r="C2" s="93"/>
      <c r="D2" s="93"/>
      <c r="E2" s="93"/>
      <c r="F2" s="199" t="s">
        <v>201</v>
      </c>
      <c r="G2" s="199"/>
      <c r="H2" s="199"/>
      <c r="I2" s="199"/>
      <c r="J2" s="199"/>
      <c r="K2" s="199"/>
      <c r="L2" s="199"/>
      <c r="M2" s="199"/>
      <c r="N2" s="199"/>
      <c r="O2" s="199"/>
      <c r="P2" s="199"/>
      <c r="Q2" s="199"/>
      <c r="R2" s="199"/>
    </row>
    <row r="4" spans="1:19" ht="66" customHeight="1" x14ac:dyDescent="0.2">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53">
        <v>2022</v>
      </c>
    </row>
    <row r="5" spans="1:19" ht="40.5" customHeight="1" x14ac:dyDescent="0.2">
      <c r="A5" s="158" t="s">
        <v>40</v>
      </c>
      <c r="B5" s="163" t="s">
        <v>58</v>
      </c>
      <c r="C5" s="9" t="s">
        <v>39</v>
      </c>
      <c r="D5" s="3" t="s">
        <v>69</v>
      </c>
      <c r="E5" s="9" t="s">
        <v>3</v>
      </c>
      <c r="F5" s="6" t="s">
        <v>70</v>
      </c>
      <c r="G5" s="27" t="s">
        <v>385</v>
      </c>
      <c r="H5" s="64"/>
      <c r="I5" s="106">
        <f>(9635/10081)</f>
        <v>0.95575835730582281</v>
      </c>
      <c r="J5" s="106">
        <f>9467/10313</f>
        <v>0.91796761369145741</v>
      </c>
      <c r="K5" s="106">
        <f>(9372/10834)</f>
        <v>0.86505445818718851</v>
      </c>
      <c r="L5" s="106">
        <v>0.88200000000000001</v>
      </c>
      <c r="M5" s="107">
        <v>0.87360000000000004</v>
      </c>
      <c r="N5" s="108">
        <v>0.72089999999999999</v>
      </c>
      <c r="O5" s="109">
        <v>0.72289999999999999</v>
      </c>
      <c r="P5" s="110">
        <v>0.72330000000000005</v>
      </c>
      <c r="Q5" s="110">
        <v>0.81620000000000004</v>
      </c>
      <c r="R5" s="110">
        <v>0.80630000000000002</v>
      </c>
      <c r="S5" s="110">
        <v>0.77490000000000003</v>
      </c>
    </row>
    <row r="6" spans="1:19" ht="55.5" customHeight="1" x14ac:dyDescent="0.2">
      <c r="A6" s="158"/>
      <c r="B6" s="163"/>
      <c r="C6" s="198" t="s">
        <v>43</v>
      </c>
      <c r="D6" s="163" t="s">
        <v>71</v>
      </c>
      <c r="E6" s="9" t="s">
        <v>4</v>
      </c>
      <c r="F6" s="6" t="s">
        <v>30</v>
      </c>
      <c r="G6" s="14" t="s">
        <v>213</v>
      </c>
      <c r="H6" s="64">
        <v>88.5</v>
      </c>
      <c r="I6" s="64">
        <v>55.8</v>
      </c>
      <c r="J6" s="64">
        <v>40.200000000000003</v>
      </c>
      <c r="K6" s="64">
        <v>91.7</v>
      </c>
      <c r="L6" s="65">
        <v>237</v>
      </c>
      <c r="M6" s="65">
        <v>94</v>
      </c>
      <c r="N6" s="65"/>
      <c r="O6" s="64"/>
      <c r="P6" s="64">
        <v>106.38</v>
      </c>
      <c r="Q6" s="64">
        <v>47.48</v>
      </c>
      <c r="R6" s="64">
        <v>37.799999999999997</v>
      </c>
      <c r="S6" s="64"/>
    </row>
    <row r="7" spans="1:19" ht="65.25" customHeight="1" x14ac:dyDescent="0.2">
      <c r="A7" s="158"/>
      <c r="B7" s="163"/>
      <c r="C7" s="189"/>
      <c r="D7" s="163"/>
      <c r="E7" s="9" t="s">
        <v>5</v>
      </c>
      <c r="F7" s="6" t="s">
        <v>31</v>
      </c>
      <c r="G7" s="14" t="s">
        <v>214</v>
      </c>
      <c r="H7" s="64">
        <v>86.5</v>
      </c>
      <c r="I7" s="64">
        <v>47.3</v>
      </c>
      <c r="J7" s="64">
        <v>47.7</v>
      </c>
      <c r="K7" s="111">
        <v>93</v>
      </c>
      <c r="L7" s="65">
        <v>117</v>
      </c>
      <c r="M7" s="111">
        <v>65.5</v>
      </c>
      <c r="N7" s="111"/>
      <c r="O7" s="64"/>
      <c r="P7" s="64">
        <v>107.37</v>
      </c>
      <c r="Q7" s="64">
        <v>55.24</v>
      </c>
      <c r="R7" s="64">
        <v>75</v>
      </c>
      <c r="S7" s="64">
        <v>78</v>
      </c>
    </row>
    <row r="8" spans="1:19" ht="42.75" customHeight="1" x14ac:dyDescent="0.2">
      <c r="A8" s="158"/>
      <c r="B8" s="163"/>
      <c r="C8" s="189"/>
      <c r="D8" s="163"/>
      <c r="E8" s="9" t="s">
        <v>6</v>
      </c>
      <c r="F8" s="101" t="s">
        <v>393</v>
      </c>
      <c r="G8" s="102" t="s">
        <v>396</v>
      </c>
      <c r="H8" s="95"/>
      <c r="I8" s="103">
        <v>4.38</v>
      </c>
      <c r="J8" s="103">
        <v>4.6500000000000004</v>
      </c>
      <c r="K8" s="103">
        <v>3.22</v>
      </c>
      <c r="L8" s="103">
        <v>4.18</v>
      </c>
      <c r="M8" s="103">
        <v>3.7</v>
      </c>
      <c r="N8" s="103">
        <v>4.7300000000000004</v>
      </c>
      <c r="O8" s="103">
        <v>5.52</v>
      </c>
      <c r="P8" s="103">
        <v>5.7594207668257358</v>
      </c>
      <c r="Q8" s="103">
        <v>6.2810996002936603</v>
      </c>
      <c r="R8" s="64">
        <v>7.65</v>
      </c>
      <c r="S8" s="64">
        <v>7.32</v>
      </c>
    </row>
    <row r="9" spans="1:19" ht="42.75" customHeight="1" x14ac:dyDescent="0.2">
      <c r="A9" s="158"/>
      <c r="B9" s="163"/>
      <c r="C9" s="189"/>
      <c r="D9" s="163"/>
      <c r="E9" s="9" t="s">
        <v>7</v>
      </c>
      <c r="F9" s="101" t="s">
        <v>394</v>
      </c>
      <c r="G9" s="102" t="s">
        <v>397</v>
      </c>
      <c r="H9" s="95"/>
      <c r="I9" s="103">
        <v>11.620205143265816</v>
      </c>
      <c r="J9" s="103">
        <v>11.085954063297153</v>
      </c>
      <c r="K9" s="103">
        <v>11.909843332733219</v>
      </c>
      <c r="L9" s="103">
        <v>11.909843332733219</v>
      </c>
      <c r="M9" s="103">
        <v>11.91</v>
      </c>
      <c r="N9" s="103">
        <v>10.57</v>
      </c>
      <c r="O9" s="103">
        <v>0</v>
      </c>
      <c r="P9" s="103">
        <v>6.170807964456146</v>
      </c>
      <c r="Q9" s="103">
        <v>31.25</v>
      </c>
      <c r="R9" s="64">
        <v>0</v>
      </c>
      <c r="S9" s="64">
        <v>0</v>
      </c>
    </row>
    <row r="10" spans="1:19" ht="49.5" customHeight="1" x14ac:dyDescent="0.2">
      <c r="A10" s="158"/>
      <c r="B10" s="163"/>
      <c r="C10" s="167"/>
      <c r="D10" s="163"/>
      <c r="E10" s="9" t="s">
        <v>8</v>
      </c>
      <c r="F10" s="101" t="s">
        <v>395</v>
      </c>
      <c r="G10" s="102" t="s">
        <v>398</v>
      </c>
      <c r="H10" s="95"/>
      <c r="I10" s="103">
        <v>8.15</v>
      </c>
      <c r="J10" s="103">
        <v>6.76</v>
      </c>
      <c r="K10" s="103">
        <v>7.49</v>
      </c>
      <c r="L10" s="103">
        <v>3.8</v>
      </c>
      <c r="M10" s="103">
        <v>6.76</v>
      </c>
      <c r="N10" s="104">
        <v>7.91</v>
      </c>
      <c r="O10" s="103">
        <v>6.55</v>
      </c>
      <c r="P10" s="148">
        <v>6.17</v>
      </c>
      <c r="Q10" s="103">
        <v>5.2206542132310956</v>
      </c>
      <c r="R10" s="65">
        <v>5.8</v>
      </c>
      <c r="S10" s="64">
        <v>4.93</v>
      </c>
    </row>
    <row r="11" spans="1:19" ht="49.5" customHeight="1" x14ac:dyDescent="0.2">
      <c r="A11" s="158"/>
      <c r="B11" s="163"/>
      <c r="C11" s="167"/>
      <c r="D11" s="163"/>
      <c r="E11" s="9" t="s">
        <v>9</v>
      </c>
      <c r="F11" s="101" t="s">
        <v>386</v>
      </c>
      <c r="G11" s="27" t="s">
        <v>403</v>
      </c>
      <c r="H11" s="95"/>
      <c r="I11" s="114">
        <v>11</v>
      </c>
      <c r="J11" s="114">
        <v>7</v>
      </c>
      <c r="K11" s="114">
        <v>6</v>
      </c>
      <c r="L11" s="114">
        <v>2</v>
      </c>
      <c r="M11" s="114">
        <v>4</v>
      </c>
      <c r="N11" s="114">
        <v>5</v>
      </c>
      <c r="O11" s="114">
        <v>2</v>
      </c>
      <c r="P11" s="114">
        <v>2</v>
      </c>
      <c r="Q11" s="114">
        <v>4</v>
      </c>
      <c r="R11" s="64">
        <v>0</v>
      </c>
      <c r="S11" s="64">
        <v>2</v>
      </c>
    </row>
    <row r="12" spans="1:19" ht="49.5" customHeight="1" x14ac:dyDescent="0.2">
      <c r="A12" s="158"/>
      <c r="B12" s="163"/>
      <c r="C12" s="167"/>
      <c r="D12" s="163"/>
      <c r="E12" s="9" t="s">
        <v>10</v>
      </c>
      <c r="F12" s="101" t="s">
        <v>387</v>
      </c>
      <c r="G12" s="27" t="s">
        <v>404</v>
      </c>
      <c r="H12" s="95"/>
      <c r="I12" s="114">
        <v>58</v>
      </c>
      <c r="J12" s="114">
        <v>62</v>
      </c>
      <c r="K12" s="114">
        <v>43</v>
      </c>
      <c r="L12" s="114">
        <v>56</v>
      </c>
      <c r="M12" s="114">
        <v>50</v>
      </c>
      <c r="N12" s="114">
        <v>64</v>
      </c>
      <c r="O12" s="114">
        <v>75</v>
      </c>
      <c r="P12" s="114">
        <v>70</v>
      </c>
      <c r="Q12" s="114">
        <v>77</v>
      </c>
      <c r="R12" s="64">
        <v>95</v>
      </c>
      <c r="S12" s="64">
        <v>92</v>
      </c>
    </row>
    <row r="13" spans="1:19" ht="49.5" customHeight="1" x14ac:dyDescent="0.2">
      <c r="A13" s="158"/>
      <c r="B13" s="163"/>
      <c r="C13" s="167"/>
      <c r="D13" s="163"/>
      <c r="E13" s="9" t="s">
        <v>11</v>
      </c>
      <c r="F13" s="101" t="s">
        <v>388</v>
      </c>
      <c r="G13" s="27" t="s">
        <v>405</v>
      </c>
      <c r="H13" s="95"/>
      <c r="I13" s="114">
        <v>0</v>
      </c>
      <c r="J13" s="114">
        <v>0</v>
      </c>
      <c r="K13" s="114">
        <v>0</v>
      </c>
      <c r="L13" s="114">
        <v>0</v>
      </c>
      <c r="M13" s="114">
        <v>0</v>
      </c>
      <c r="N13" s="114">
        <v>0</v>
      </c>
      <c r="O13" s="114">
        <v>0</v>
      </c>
      <c r="P13" s="114">
        <v>0</v>
      </c>
      <c r="Q13" s="114">
        <v>0</v>
      </c>
      <c r="R13" s="64">
        <v>2</v>
      </c>
      <c r="S13" s="64">
        <v>0</v>
      </c>
    </row>
    <row r="14" spans="1:19" ht="49.5" customHeight="1" x14ac:dyDescent="0.2">
      <c r="A14" s="158"/>
      <c r="B14" s="163"/>
      <c r="C14" s="167"/>
      <c r="D14" s="163"/>
      <c r="E14" s="9" t="s">
        <v>12</v>
      </c>
      <c r="F14" s="101" t="s">
        <v>389</v>
      </c>
      <c r="G14" s="27"/>
      <c r="H14" s="95"/>
      <c r="I14" s="114">
        <v>0</v>
      </c>
      <c r="J14" s="114">
        <v>1</v>
      </c>
      <c r="K14" s="114">
        <v>1</v>
      </c>
      <c r="L14" s="114">
        <v>0</v>
      </c>
      <c r="M14" s="114">
        <v>0</v>
      </c>
      <c r="N14" s="114">
        <v>1</v>
      </c>
      <c r="O14" s="114">
        <v>0</v>
      </c>
      <c r="P14" s="114">
        <v>0</v>
      </c>
      <c r="Q14" s="114">
        <v>1</v>
      </c>
      <c r="R14" s="64">
        <v>0</v>
      </c>
      <c r="S14" s="64">
        <v>0</v>
      </c>
    </row>
    <row r="15" spans="1:19" ht="49.5" customHeight="1" x14ac:dyDescent="0.2">
      <c r="A15" s="158"/>
      <c r="B15" s="163"/>
      <c r="C15" s="167"/>
      <c r="D15" s="163"/>
      <c r="E15" s="9" t="s">
        <v>13</v>
      </c>
      <c r="F15" s="101" t="s">
        <v>390</v>
      </c>
      <c r="G15" s="27"/>
      <c r="H15" s="95"/>
      <c r="I15" s="114">
        <v>2</v>
      </c>
      <c r="J15" s="114">
        <v>2</v>
      </c>
      <c r="K15" s="114">
        <v>3</v>
      </c>
      <c r="L15" s="114">
        <v>0</v>
      </c>
      <c r="M15" s="114">
        <v>0</v>
      </c>
      <c r="N15" s="114">
        <v>3</v>
      </c>
      <c r="O15" s="114">
        <v>1</v>
      </c>
      <c r="P15" s="114">
        <v>2</v>
      </c>
      <c r="Q15" s="114">
        <v>5</v>
      </c>
      <c r="R15" s="64">
        <v>0</v>
      </c>
      <c r="S15" s="64">
        <v>0</v>
      </c>
    </row>
    <row r="16" spans="1:19" ht="49.5" customHeight="1" x14ac:dyDescent="0.2">
      <c r="A16" s="158"/>
      <c r="B16" s="163"/>
      <c r="C16" s="167"/>
      <c r="D16" s="163"/>
      <c r="E16" s="9" t="s">
        <v>14</v>
      </c>
      <c r="F16" s="101" t="s">
        <v>391</v>
      </c>
      <c r="G16" s="27"/>
      <c r="H16" s="95"/>
      <c r="I16" s="114">
        <v>0</v>
      </c>
      <c r="J16" s="114">
        <v>1</v>
      </c>
      <c r="K16" s="114">
        <v>1</v>
      </c>
      <c r="L16" s="114">
        <v>0</v>
      </c>
      <c r="M16" s="114">
        <v>0</v>
      </c>
      <c r="N16" s="114">
        <v>1</v>
      </c>
      <c r="O16" s="114">
        <v>0</v>
      </c>
      <c r="P16" s="114">
        <v>0</v>
      </c>
      <c r="Q16" s="114">
        <v>0</v>
      </c>
      <c r="R16" s="64">
        <v>0</v>
      </c>
      <c r="S16" s="64">
        <v>0</v>
      </c>
    </row>
    <row r="17" spans="1:26" ht="51" customHeight="1" x14ac:dyDescent="0.2">
      <c r="A17" s="158"/>
      <c r="B17" s="163"/>
      <c r="C17" s="167"/>
      <c r="D17" s="163"/>
      <c r="E17" s="9" t="s">
        <v>15</v>
      </c>
      <c r="F17" s="6" t="s">
        <v>392</v>
      </c>
      <c r="G17" s="147" t="s">
        <v>446</v>
      </c>
      <c r="H17" s="64"/>
      <c r="I17" s="114">
        <v>108</v>
      </c>
      <c r="J17" s="114">
        <v>90</v>
      </c>
      <c r="K17" s="114">
        <v>100</v>
      </c>
      <c r="L17" s="114">
        <v>51</v>
      </c>
      <c r="M17" s="114">
        <v>91</v>
      </c>
      <c r="N17" s="114">
        <v>95</v>
      </c>
      <c r="O17" s="114">
        <v>89</v>
      </c>
      <c r="P17" s="114">
        <v>75</v>
      </c>
      <c r="Q17" s="114">
        <v>64</v>
      </c>
      <c r="R17" s="64">
        <v>72</v>
      </c>
      <c r="S17" s="95">
        <v>62</v>
      </c>
    </row>
    <row r="18" spans="1:26" ht="35.25" customHeight="1" x14ac:dyDescent="0.2">
      <c r="A18" s="158"/>
      <c r="B18" s="163"/>
      <c r="C18" s="167"/>
      <c r="D18" s="163"/>
      <c r="E18" s="9" t="s">
        <v>16</v>
      </c>
      <c r="F18" s="7" t="s">
        <v>155</v>
      </c>
      <c r="G18" s="27" t="s">
        <v>449</v>
      </c>
      <c r="H18" s="64">
        <v>0</v>
      </c>
      <c r="I18" s="64">
        <v>0</v>
      </c>
      <c r="J18" s="64">
        <v>0</v>
      </c>
      <c r="K18" s="64">
        <v>0</v>
      </c>
      <c r="L18" s="64">
        <v>0</v>
      </c>
      <c r="M18" s="64">
        <v>0</v>
      </c>
      <c r="N18" s="64">
        <v>0</v>
      </c>
      <c r="O18" s="64">
        <v>0</v>
      </c>
      <c r="P18" s="64">
        <v>0</v>
      </c>
      <c r="Q18" s="64">
        <v>0</v>
      </c>
      <c r="R18" s="64">
        <v>2778</v>
      </c>
      <c r="S18" s="64">
        <v>0</v>
      </c>
    </row>
    <row r="19" spans="1:26" ht="48" customHeight="1" x14ac:dyDescent="0.2">
      <c r="A19" s="158"/>
      <c r="B19" s="163"/>
      <c r="C19" s="167"/>
      <c r="D19" s="163"/>
      <c r="E19" s="9" t="s">
        <v>17</v>
      </c>
      <c r="F19" s="7" t="s">
        <v>156</v>
      </c>
      <c r="G19" s="3" t="s">
        <v>223</v>
      </c>
      <c r="H19" s="112">
        <v>1</v>
      </c>
      <c r="I19" s="112">
        <v>1</v>
      </c>
      <c r="J19" s="112">
        <v>1</v>
      </c>
      <c r="K19" s="112">
        <v>1</v>
      </c>
      <c r="L19" s="112">
        <v>1</v>
      </c>
      <c r="M19" s="112">
        <v>1</v>
      </c>
      <c r="N19" s="112">
        <v>1</v>
      </c>
      <c r="O19" s="112">
        <v>1</v>
      </c>
      <c r="P19" s="112">
        <v>1</v>
      </c>
      <c r="Q19" s="112">
        <v>1</v>
      </c>
      <c r="R19" s="112">
        <v>1</v>
      </c>
      <c r="S19" s="112">
        <v>1</v>
      </c>
    </row>
    <row r="20" spans="1:26" ht="69.75" customHeight="1" x14ac:dyDescent="0.2">
      <c r="A20" s="158"/>
      <c r="B20" s="163"/>
      <c r="C20" s="167"/>
      <c r="D20" s="163"/>
      <c r="E20" s="9" t="s">
        <v>18</v>
      </c>
      <c r="F20" s="7" t="s">
        <v>157</v>
      </c>
      <c r="G20" s="3" t="s">
        <v>215</v>
      </c>
      <c r="H20" s="64">
        <v>96.8</v>
      </c>
      <c r="I20" s="64">
        <v>97.3</v>
      </c>
      <c r="J20" s="64">
        <v>100</v>
      </c>
      <c r="K20" s="64">
        <v>100</v>
      </c>
      <c r="L20" s="64">
        <v>100</v>
      </c>
      <c r="M20" s="64">
        <v>100</v>
      </c>
      <c r="N20" s="64">
        <v>100</v>
      </c>
      <c r="O20" s="64">
        <v>100</v>
      </c>
      <c r="P20" s="64">
        <v>100</v>
      </c>
      <c r="Q20" s="64">
        <v>100</v>
      </c>
      <c r="R20" s="64">
        <v>100</v>
      </c>
      <c r="S20" s="64">
        <v>100</v>
      </c>
    </row>
    <row r="21" spans="1:26" ht="55.5" customHeight="1" x14ac:dyDescent="0.2">
      <c r="A21" s="158"/>
      <c r="B21" s="163"/>
      <c r="C21" s="167"/>
      <c r="D21" s="163"/>
      <c r="E21" s="9" t="s">
        <v>19</v>
      </c>
      <c r="F21" s="7" t="s">
        <v>445</v>
      </c>
      <c r="G21" s="7" t="s">
        <v>415</v>
      </c>
      <c r="H21" s="64">
        <v>3.22</v>
      </c>
      <c r="I21" s="64">
        <v>3.32</v>
      </c>
      <c r="J21" s="64">
        <v>0</v>
      </c>
      <c r="K21" s="95">
        <v>3.54</v>
      </c>
      <c r="L21" s="64">
        <v>0</v>
      </c>
      <c r="M21" s="64">
        <v>0</v>
      </c>
      <c r="N21" s="64">
        <v>1.93</v>
      </c>
      <c r="O21" s="64">
        <v>1.94</v>
      </c>
      <c r="P21" s="64">
        <v>0</v>
      </c>
      <c r="Q21" s="64"/>
      <c r="R21" s="64">
        <v>0</v>
      </c>
      <c r="S21" s="64">
        <v>1.81</v>
      </c>
    </row>
    <row r="22" spans="1:26" ht="74.25" customHeight="1" x14ac:dyDescent="0.2">
      <c r="A22" s="158"/>
      <c r="B22" s="163"/>
      <c r="C22" s="167"/>
      <c r="D22" s="163"/>
      <c r="E22" s="9" t="s">
        <v>20</v>
      </c>
      <c r="F22" s="7" t="s">
        <v>414</v>
      </c>
      <c r="G22" s="7" t="s">
        <v>447</v>
      </c>
      <c r="H22" s="64">
        <v>55.29</v>
      </c>
      <c r="I22" s="64">
        <v>38.28</v>
      </c>
      <c r="J22" s="64">
        <v>43.69</v>
      </c>
      <c r="K22" s="64">
        <v>37.89</v>
      </c>
      <c r="L22" s="64">
        <v>15.1</v>
      </c>
      <c r="M22" s="64">
        <v>48.03</v>
      </c>
      <c r="N22" s="64">
        <v>31.75</v>
      </c>
      <c r="O22" s="64">
        <v>18.18</v>
      </c>
      <c r="P22" s="64">
        <v>29.21</v>
      </c>
      <c r="Q22" s="64"/>
      <c r="R22" s="64">
        <v>5.91</v>
      </c>
      <c r="S22" s="64">
        <v>1.95</v>
      </c>
    </row>
    <row r="23" spans="1:26" ht="51" x14ac:dyDescent="0.25">
      <c r="A23" s="158"/>
      <c r="B23" s="163"/>
      <c r="C23" s="167"/>
      <c r="D23" s="163"/>
      <c r="E23" s="9" t="s">
        <v>21</v>
      </c>
      <c r="F23" s="7" t="s">
        <v>401</v>
      </c>
      <c r="G23" s="7" t="s">
        <v>402</v>
      </c>
      <c r="H23" s="64">
        <v>0</v>
      </c>
      <c r="I23" s="64">
        <v>0</v>
      </c>
      <c r="J23" s="64">
        <v>0</v>
      </c>
      <c r="K23" s="64">
        <v>0</v>
      </c>
      <c r="L23" s="111">
        <f>(1/6020)*100000</f>
        <v>16.611295681063122</v>
      </c>
      <c r="M23" s="111">
        <v>0</v>
      </c>
      <c r="N23" s="111">
        <v>0</v>
      </c>
      <c r="O23" s="111">
        <v>0</v>
      </c>
      <c r="P23" s="111">
        <v>0</v>
      </c>
      <c r="Q23" s="111">
        <f>(2/6201)*100000</f>
        <v>32.252862441541687</v>
      </c>
      <c r="R23" s="111">
        <f>(1/6276)*100000</f>
        <v>15.933715742511152</v>
      </c>
      <c r="S23" s="64">
        <v>15.7</v>
      </c>
      <c r="T23" s="100"/>
    </row>
    <row r="24" spans="1:26" ht="33.75" customHeight="1" x14ac:dyDescent="0.2">
      <c r="A24" s="158"/>
      <c r="B24" s="163"/>
      <c r="C24" s="167"/>
      <c r="D24" s="163"/>
      <c r="E24" s="9" t="s">
        <v>22</v>
      </c>
      <c r="F24" s="7" t="s">
        <v>399</v>
      </c>
      <c r="G24" s="7" t="s">
        <v>412</v>
      </c>
      <c r="H24" s="65">
        <f>(1/5789)*100000</f>
        <v>17.274140611504578</v>
      </c>
      <c r="I24" s="65">
        <v>0</v>
      </c>
      <c r="J24" s="65">
        <v>0</v>
      </c>
      <c r="K24" s="65">
        <f>(1/5805)*100000</f>
        <v>17.226528854435831</v>
      </c>
      <c r="L24" s="146">
        <v>0</v>
      </c>
      <c r="M24" s="146">
        <v>0</v>
      </c>
      <c r="N24" s="146">
        <f>(1/5904)*100000</f>
        <v>16.937669376693766</v>
      </c>
      <c r="O24" s="146">
        <v>0</v>
      </c>
      <c r="P24" s="146">
        <f>(1/6007)*100000</f>
        <v>16.647244880972199</v>
      </c>
      <c r="Q24" s="146">
        <f>(2/6058)*100000</f>
        <v>33.01419610432486</v>
      </c>
      <c r="R24" s="65">
        <v>0</v>
      </c>
      <c r="S24" s="64">
        <v>0</v>
      </c>
    </row>
    <row r="25" spans="1:26" ht="33.75" customHeight="1" x14ac:dyDescent="0.2">
      <c r="A25" s="158"/>
      <c r="B25" s="163"/>
      <c r="C25" s="167"/>
      <c r="D25" s="163"/>
      <c r="E25" s="9" t="s">
        <v>23</v>
      </c>
      <c r="F25" s="7" t="s">
        <v>400</v>
      </c>
      <c r="G25" s="7" t="s">
        <v>413</v>
      </c>
      <c r="H25" s="65">
        <v>0</v>
      </c>
      <c r="I25" s="65">
        <v>0</v>
      </c>
      <c r="J25" s="65">
        <v>0</v>
      </c>
      <c r="K25" s="65">
        <v>0</v>
      </c>
      <c r="L25" s="146">
        <v>0</v>
      </c>
      <c r="M25" s="146">
        <v>0</v>
      </c>
      <c r="N25" s="146">
        <f>(1/6104)*100000</f>
        <v>16.382699868938403</v>
      </c>
      <c r="O25" s="146">
        <v>0</v>
      </c>
      <c r="P25" s="146">
        <v>0</v>
      </c>
      <c r="Q25" s="146">
        <v>0</v>
      </c>
      <c r="R25" s="65">
        <f>(1/6276)*100000</f>
        <v>15.933715742511152</v>
      </c>
      <c r="S25" s="64">
        <v>0</v>
      </c>
    </row>
    <row r="26" spans="1:26" ht="42.75" customHeight="1" x14ac:dyDescent="0.25">
      <c r="A26" s="158"/>
      <c r="B26" s="163"/>
      <c r="C26" s="167"/>
      <c r="D26" s="163"/>
      <c r="E26" s="9" t="s">
        <v>24</v>
      </c>
      <c r="F26" s="7" t="s">
        <v>158</v>
      </c>
      <c r="G26" s="7" t="s">
        <v>217</v>
      </c>
      <c r="H26" s="47">
        <f>(1/11768)*100000</f>
        <v>8.497620666213459</v>
      </c>
      <c r="I26" s="25">
        <v>0</v>
      </c>
      <c r="J26" s="25">
        <v>0</v>
      </c>
      <c r="K26" s="47">
        <f>(1/11781)*100000</f>
        <v>8.4882437823614296</v>
      </c>
      <c r="L26" s="25">
        <v>0</v>
      </c>
      <c r="M26" s="25">
        <v>0</v>
      </c>
      <c r="N26" s="47">
        <f>(2/12008)*100000</f>
        <v>16.655562958027982</v>
      </c>
      <c r="O26" s="25">
        <v>0</v>
      </c>
      <c r="P26" s="47">
        <f>(1/12154)*100000</f>
        <v>8.2277439526081952</v>
      </c>
      <c r="Q26" s="47">
        <f>(2/12259)*100000</f>
        <v>16.314544416347175</v>
      </c>
      <c r="R26" s="47">
        <f>(1/12405)*100000</f>
        <v>8.0612656187021372</v>
      </c>
      <c r="S26" s="95">
        <v>0</v>
      </c>
      <c r="U26"/>
      <c r="V26"/>
      <c r="W26"/>
      <c r="X26"/>
      <c r="Y26"/>
      <c r="Z26"/>
    </row>
    <row r="27" spans="1:26" ht="62.25" customHeight="1" x14ac:dyDescent="0.2">
      <c r="A27" s="158"/>
      <c r="B27" s="163"/>
      <c r="C27" s="167"/>
      <c r="D27" s="163"/>
      <c r="E27" s="9" t="s">
        <v>25</v>
      </c>
      <c r="F27" s="7" t="s">
        <v>410</v>
      </c>
      <c r="G27" s="3" t="s">
        <v>218</v>
      </c>
      <c r="H27" s="64">
        <v>0</v>
      </c>
      <c r="I27" s="64">
        <v>0</v>
      </c>
      <c r="J27" s="64">
        <v>0</v>
      </c>
      <c r="K27" s="64">
        <v>0</v>
      </c>
      <c r="L27" s="115">
        <v>0.22</v>
      </c>
      <c r="M27" s="64">
        <v>0</v>
      </c>
      <c r="N27" s="64">
        <v>0</v>
      </c>
      <c r="O27" s="64">
        <v>0</v>
      </c>
      <c r="P27" s="64">
        <v>0</v>
      </c>
      <c r="Q27" s="64">
        <v>0</v>
      </c>
      <c r="R27" s="64">
        <v>0</v>
      </c>
      <c r="S27" s="64">
        <v>0</v>
      </c>
    </row>
    <row r="28" spans="1:26" ht="66.75" customHeight="1" x14ac:dyDescent="0.2">
      <c r="A28" s="158"/>
      <c r="B28" s="163"/>
      <c r="C28" s="167"/>
      <c r="D28" s="163"/>
      <c r="E28" s="9" t="s">
        <v>26</v>
      </c>
      <c r="F28" s="7" t="s">
        <v>411</v>
      </c>
      <c r="G28" s="3" t="s">
        <v>219</v>
      </c>
      <c r="H28" s="64">
        <v>0</v>
      </c>
      <c r="I28" s="64">
        <v>0</v>
      </c>
      <c r="J28" s="64">
        <v>0</v>
      </c>
      <c r="K28" s="64">
        <v>0</v>
      </c>
      <c r="L28" s="112">
        <v>0.1</v>
      </c>
      <c r="M28" s="64">
        <v>0</v>
      </c>
      <c r="N28" s="64">
        <v>0</v>
      </c>
      <c r="O28" s="64">
        <v>0</v>
      </c>
      <c r="P28" s="64">
        <v>0</v>
      </c>
      <c r="Q28" s="64">
        <v>0</v>
      </c>
      <c r="R28" s="64">
        <v>0</v>
      </c>
      <c r="S28" s="64">
        <v>0</v>
      </c>
    </row>
    <row r="29" spans="1:26" ht="44.25" customHeight="1" x14ac:dyDescent="0.2">
      <c r="A29" s="158"/>
      <c r="B29" s="163"/>
      <c r="C29" s="167"/>
      <c r="D29" s="163"/>
      <c r="E29" s="9" t="s">
        <v>27</v>
      </c>
      <c r="F29" s="7" t="s">
        <v>161</v>
      </c>
      <c r="G29" s="3" t="s">
        <v>220</v>
      </c>
      <c r="H29" s="64"/>
      <c r="I29" s="64"/>
      <c r="J29" s="64"/>
      <c r="K29" s="64"/>
      <c r="L29" s="64"/>
      <c r="M29" s="64">
        <v>6.6</v>
      </c>
      <c r="N29" s="64">
        <v>4.8</v>
      </c>
      <c r="O29" s="64">
        <v>2.5000000000000001E-2</v>
      </c>
      <c r="P29" s="64">
        <v>3.06</v>
      </c>
      <c r="Q29" s="64">
        <v>3.94</v>
      </c>
      <c r="R29" s="64">
        <v>2.8</v>
      </c>
      <c r="S29" s="64">
        <v>3.08</v>
      </c>
    </row>
    <row r="30" spans="1:26" ht="33.75" customHeight="1" x14ac:dyDescent="0.2">
      <c r="A30" s="158"/>
      <c r="B30" s="163"/>
      <c r="C30" s="167"/>
      <c r="D30" s="163"/>
      <c r="E30" s="9" t="s">
        <v>28</v>
      </c>
      <c r="F30" s="7" t="s">
        <v>159</v>
      </c>
      <c r="G30" s="3" t="s">
        <v>221</v>
      </c>
      <c r="H30" s="64">
        <v>0</v>
      </c>
      <c r="I30" s="64">
        <v>0</v>
      </c>
      <c r="J30" s="64">
        <v>0</v>
      </c>
      <c r="K30" s="64">
        <v>0</v>
      </c>
      <c r="L30" s="64">
        <v>0</v>
      </c>
      <c r="M30" s="64">
        <v>0</v>
      </c>
      <c r="N30" s="64">
        <v>0</v>
      </c>
      <c r="O30" s="64">
        <v>0</v>
      </c>
      <c r="P30" s="64">
        <v>0</v>
      </c>
      <c r="Q30" s="64">
        <v>0</v>
      </c>
      <c r="R30" s="64">
        <v>0</v>
      </c>
      <c r="S30" s="64">
        <v>0</v>
      </c>
    </row>
    <row r="31" spans="1:26" ht="31.5" customHeight="1" x14ac:dyDescent="0.2">
      <c r="A31" s="158"/>
      <c r="B31" s="163"/>
      <c r="C31" s="167"/>
      <c r="D31" s="163"/>
      <c r="E31" s="9" t="s">
        <v>29</v>
      </c>
      <c r="F31" s="3" t="s">
        <v>160</v>
      </c>
      <c r="G31" s="3" t="s">
        <v>222</v>
      </c>
      <c r="H31" s="64">
        <v>0</v>
      </c>
      <c r="I31" s="64">
        <v>0</v>
      </c>
      <c r="J31" s="64">
        <v>0</v>
      </c>
      <c r="K31" s="64">
        <v>0</v>
      </c>
      <c r="L31" s="64">
        <v>0</v>
      </c>
      <c r="M31" s="64">
        <v>0</v>
      </c>
      <c r="N31" s="64">
        <v>0</v>
      </c>
      <c r="O31" s="64">
        <v>0</v>
      </c>
      <c r="P31" s="64">
        <v>0</v>
      </c>
      <c r="Q31" s="64">
        <v>0</v>
      </c>
      <c r="R31" s="64">
        <v>0</v>
      </c>
      <c r="S31" s="64">
        <v>0</v>
      </c>
    </row>
    <row r="32" spans="1:26" x14ac:dyDescent="0.2">
      <c r="A32" s="105" t="s">
        <v>448</v>
      </c>
    </row>
  </sheetData>
  <mergeCells count="5">
    <mergeCell ref="D6:D31"/>
    <mergeCell ref="C6:C31"/>
    <mergeCell ref="A5:A31"/>
    <mergeCell ref="B5:B31"/>
    <mergeCell ref="F2:R2"/>
  </mergeCells>
  <phoneticPr fontId="5" type="noConversion"/>
  <printOptions horizontalCentered="1" verticalCentered="1"/>
  <pageMargins left="0.11811023622047245" right="0.11811023622047245" top="0.74803149606299213" bottom="0.74803149606299213" header="0.31496062992125984" footer="0.31496062992125984"/>
  <pageSetup paperSize="5" scale="3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499984740745262"/>
  </sheetPr>
  <dimension ref="A2:T5"/>
  <sheetViews>
    <sheetView topLeftCell="D1" zoomScale="80" zoomScaleNormal="80" zoomScaleSheetLayoutView="90" workbookViewId="0">
      <selection activeCell="T4" sqref="T4"/>
    </sheetView>
  </sheetViews>
  <sheetFormatPr baseColWidth="10" defaultRowHeight="15" x14ac:dyDescent="0.25"/>
  <cols>
    <col min="1" max="1" width="5.7109375" bestFit="1" customWidth="1"/>
    <col min="3" max="3" width="8.140625" bestFit="1" customWidth="1"/>
    <col min="4" max="4" width="27.42578125" bestFit="1" customWidth="1"/>
    <col min="5" max="5" width="10.42578125" customWidth="1"/>
    <col min="6" max="6" width="19.28515625" bestFit="1" customWidth="1"/>
    <col min="7" max="7" width="26.5703125" customWidth="1"/>
  </cols>
  <sheetData>
    <row r="2" spans="1:20" ht="33.75" customHeight="1" x14ac:dyDescent="0.25">
      <c r="A2" s="154" t="s">
        <v>201</v>
      </c>
      <c r="B2" s="154"/>
      <c r="C2" s="154"/>
      <c r="D2" s="154"/>
      <c r="E2" s="154"/>
      <c r="F2" s="154"/>
      <c r="G2" s="154"/>
      <c r="H2" s="154"/>
      <c r="I2" s="154"/>
      <c r="J2" s="154"/>
      <c r="K2" s="154"/>
      <c r="L2" s="154"/>
      <c r="M2" s="154"/>
      <c r="N2" s="154"/>
    </row>
    <row r="4" spans="1:20" ht="81" customHeight="1" x14ac:dyDescent="0.25">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55">
        <v>2022</v>
      </c>
      <c r="S4" s="13">
        <v>2022</v>
      </c>
      <c r="T4" s="139"/>
    </row>
    <row r="5" spans="1:20" ht="108.75" customHeight="1" x14ac:dyDescent="0.25">
      <c r="A5" s="5" t="s">
        <v>93</v>
      </c>
      <c r="B5" s="27" t="s">
        <v>91</v>
      </c>
      <c r="C5" s="8" t="s">
        <v>3</v>
      </c>
      <c r="D5" s="27" t="s">
        <v>437</v>
      </c>
      <c r="E5" s="8" t="s">
        <v>3</v>
      </c>
      <c r="F5" s="27" t="s">
        <v>92</v>
      </c>
      <c r="G5" s="123" t="s">
        <v>245</v>
      </c>
      <c r="H5" s="23"/>
      <c r="I5" s="54">
        <v>100</v>
      </c>
      <c r="J5" s="54">
        <v>100</v>
      </c>
      <c r="K5" s="54">
        <f>9/10*100</f>
        <v>90</v>
      </c>
      <c r="L5" s="54">
        <f t="shared" ref="L5:R5" si="0">9/10*100</f>
        <v>90</v>
      </c>
      <c r="M5" s="54">
        <f t="shared" si="0"/>
        <v>90</v>
      </c>
      <c r="N5" s="54">
        <f t="shared" si="0"/>
        <v>90</v>
      </c>
      <c r="O5" s="54">
        <f t="shared" si="0"/>
        <v>90</v>
      </c>
      <c r="P5" s="54">
        <f t="shared" si="0"/>
        <v>90</v>
      </c>
      <c r="Q5" s="54">
        <f t="shared" si="0"/>
        <v>90</v>
      </c>
      <c r="R5" s="54">
        <f t="shared" si="0"/>
        <v>90</v>
      </c>
      <c r="S5" s="54">
        <v>90</v>
      </c>
    </row>
  </sheetData>
  <mergeCells count="1">
    <mergeCell ref="A2:N2"/>
  </mergeCells>
  <phoneticPr fontId="5" type="noConversion"/>
  <printOptions horizontalCentered="1" verticalCentered="1"/>
  <pageMargins left="0.31496062992125984" right="0.31496062992125984" top="0.74803149606299213" bottom="0.74803149606299213" header="0.31496062992125984" footer="0.31496062992125984"/>
  <pageSetup paperSize="5" scale="56"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499984740745262"/>
  </sheetPr>
  <dimension ref="A2:S9"/>
  <sheetViews>
    <sheetView topLeftCell="B1" zoomScale="77" zoomScaleNormal="77" zoomScaleSheetLayoutView="90" workbookViewId="0">
      <selection activeCell="S9" sqref="S9"/>
    </sheetView>
  </sheetViews>
  <sheetFormatPr baseColWidth="10" defaultRowHeight="12.75" x14ac:dyDescent="0.2"/>
  <cols>
    <col min="1" max="1" width="5.7109375" style="1" bestFit="1" customWidth="1"/>
    <col min="2" max="2" width="10.42578125" style="1" customWidth="1"/>
    <col min="3" max="3" width="9.42578125" style="1" customWidth="1"/>
    <col min="4" max="4" width="15.7109375" style="1" customWidth="1"/>
    <col min="5" max="5" width="11.28515625" style="1" customWidth="1"/>
    <col min="6" max="6" width="23.7109375" style="1" customWidth="1"/>
    <col min="7" max="7" width="26.42578125" style="1" customWidth="1"/>
    <col min="8" max="16384" width="11.42578125" style="1"/>
  </cols>
  <sheetData>
    <row r="2" spans="1:19" ht="21.75" customHeight="1" x14ac:dyDescent="0.2">
      <c r="A2" s="159" t="s">
        <v>201</v>
      </c>
      <c r="B2" s="159"/>
      <c r="C2" s="159"/>
      <c r="D2" s="159"/>
      <c r="E2" s="159"/>
      <c r="F2" s="159"/>
      <c r="G2" s="159"/>
      <c r="H2" s="159"/>
      <c r="I2" s="159"/>
      <c r="J2" s="159"/>
      <c r="K2" s="159"/>
      <c r="L2" s="159"/>
      <c r="M2" s="159"/>
      <c r="N2" s="159"/>
    </row>
    <row r="4" spans="1:19" ht="69.75" customHeight="1" x14ac:dyDescent="0.2">
      <c r="A4" s="18" t="s">
        <v>51</v>
      </c>
      <c r="B4" s="19" t="s">
        <v>52</v>
      </c>
      <c r="C4" s="18" t="s">
        <v>72</v>
      </c>
      <c r="D4" s="19" t="s">
        <v>73</v>
      </c>
      <c r="E4" s="18" t="s">
        <v>74</v>
      </c>
      <c r="F4" s="19" t="s">
        <v>75</v>
      </c>
      <c r="G4" s="19" t="s">
        <v>196</v>
      </c>
      <c r="H4" s="13">
        <v>2011</v>
      </c>
      <c r="I4" s="13">
        <v>2012</v>
      </c>
      <c r="J4" s="13">
        <v>2013</v>
      </c>
      <c r="K4" s="13">
        <v>2014</v>
      </c>
      <c r="L4" s="13">
        <v>2015</v>
      </c>
      <c r="M4" s="13">
        <v>2016</v>
      </c>
      <c r="N4" s="13">
        <v>2017</v>
      </c>
      <c r="O4" s="13">
        <v>2018</v>
      </c>
      <c r="P4" s="13">
        <v>2019</v>
      </c>
      <c r="Q4" s="13">
        <v>2020</v>
      </c>
      <c r="R4" s="13">
        <v>2021</v>
      </c>
      <c r="S4" s="53">
        <v>2022</v>
      </c>
    </row>
    <row r="5" spans="1:19" ht="63.75" x14ac:dyDescent="0.2">
      <c r="A5" s="156" t="s">
        <v>43</v>
      </c>
      <c r="B5" s="163" t="s">
        <v>65</v>
      </c>
      <c r="C5" s="190" t="s">
        <v>39</v>
      </c>
      <c r="D5" s="163" t="s">
        <v>66</v>
      </c>
      <c r="E5" s="9" t="s">
        <v>3</v>
      </c>
      <c r="F5" s="6" t="s">
        <v>35</v>
      </c>
      <c r="G5" s="3" t="s">
        <v>234</v>
      </c>
      <c r="H5" s="64"/>
      <c r="I5" s="64"/>
      <c r="J5" s="64"/>
      <c r="K5" s="65">
        <f>620/12161*100</f>
        <v>5.0982649453169975</v>
      </c>
      <c r="L5" s="65">
        <v>14.1</v>
      </c>
      <c r="M5" s="65">
        <v>14</v>
      </c>
      <c r="N5" s="65">
        <f>SUM(2900/13520)*100</f>
        <v>21.449704142011836</v>
      </c>
      <c r="O5" s="64"/>
      <c r="P5" s="64"/>
      <c r="Q5" s="64">
        <v>6.45</v>
      </c>
      <c r="R5" s="65">
        <f>(902/12405)*100</f>
        <v>7.2712615880693265</v>
      </c>
      <c r="S5" s="65">
        <f>(1042/12570)*100</f>
        <v>8.2895783611774068</v>
      </c>
    </row>
    <row r="6" spans="1:19" ht="91.5" customHeight="1" x14ac:dyDescent="0.2">
      <c r="A6" s="156"/>
      <c r="B6" s="163"/>
      <c r="C6" s="190"/>
      <c r="D6" s="163"/>
      <c r="E6" s="9" t="s">
        <v>4</v>
      </c>
      <c r="F6" s="6" t="s">
        <v>36</v>
      </c>
      <c r="G6" s="3" t="s">
        <v>235</v>
      </c>
      <c r="H6" s="64">
        <f>4/4*100</f>
        <v>100</v>
      </c>
      <c r="I6" s="64">
        <f t="shared" ref="I6:K7" si="0">4/4*100</f>
        <v>100</v>
      </c>
      <c r="J6" s="64">
        <f t="shared" si="0"/>
        <v>100</v>
      </c>
      <c r="K6" s="64">
        <f t="shared" si="0"/>
        <v>100</v>
      </c>
      <c r="L6" s="64">
        <v>100</v>
      </c>
      <c r="M6" s="64">
        <v>100</v>
      </c>
      <c r="N6" s="64">
        <f>SUM(4/4)*100</f>
        <v>100</v>
      </c>
      <c r="O6" s="64">
        <v>100</v>
      </c>
      <c r="P6" s="64">
        <v>100</v>
      </c>
      <c r="Q6" s="64">
        <v>100</v>
      </c>
      <c r="R6" s="64">
        <v>100</v>
      </c>
      <c r="S6" s="64">
        <v>100</v>
      </c>
    </row>
    <row r="7" spans="1:19" ht="102.75" customHeight="1" x14ac:dyDescent="0.2">
      <c r="A7" s="156"/>
      <c r="B7" s="163"/>
      <c r="C7" s="190" t="s">
        <v>40</v>
      </c>
      <c r="D7" s="200" t="s">
        <v>67</v>
      </c>
      <c r="E7" s="9" t="s">
        <v>5</v>
      </c>
      <c r="F7" s="7" t="s">
        <v>37</v>
      </c>
      <c r="G7" s="7" t="s">
        <v>236</v>
      </c>
      <c r="H7" s="64">
        <f>4/4*100</f>
        <v>100</v>
      </c>
      <c r="I7" s="64">
        <f t="shared" si="0"/>
        <v>100</v>
      </c>
      <c r="J7" s="64">
        <f t="shared" si="0"/>
        <v>100</v>
      </c>
      <c r="K7" s="64">
        <f t="shared" si="0"/>
        <v>100</v>
      </c>
      <c r="L7" s="64">
        <v>100</v>
      </c>
      <c r="M7" s="64">
        <v>100</v>
      </c>
      <c r="N7" s="64">
        <f>SUM(4/4)*100</f>
        <v>100</v>
      </c>
      <c r="O7" s="64">
        <f>SUM(4/4)*100</f>
        <v>100</v>
      </c>
      <c r="P7" s="64">
        <v>100</v>
      </c>
      <c r="Q7" s="64">
        <v>100</v>
      </c>
      <c r="R7" s="64">
        <v>100</v>
      </c>
      <c r="S7" s="64">
        <v>100</v>
      </c>
    </row>
    <row r="8" spans="1:19" ht="91.5" customHeight="1" x14ac:dyDescent="0.2">
      <c r="A8" s="156"/>
      <c r="B8" s="163"/>
      <c r="C8" s="190"/>
      <c r="D8" s="200"/>
      <c r="E8" s="9" t="s">
        <v>6</v>
      </c>
      <c r="F8" s="7" t="s">
        <v>38</v>
      </c>
      <c r="G8" s="3"/>
      <c r="H8" s="64"/>
      <c r="I8" s="64">
        <v>3</v>
      </c>
      <c r="J8" s="64">
        <v>3</v>
      </c>
      <c r="K8" s="64">
        <v>3</v>
      </c>
      <c r="L8" s="64">
        <v>4</v>
      </c>
      <c r="M8" s="64">
        <v>4</v>
      </c>
      <c r="N8" s="64">
        <v>12</v>
      </c>
      <c r="O8" s="64">
        <v>12</v>
      </c>
      <c r="P8" s="64"/>
      <c r="Q8" s="64">
        <v>6</v>
      </c>
      <c r="R8" s="64">
        <v>6</v>
      </c>
      <c r="S8" s="64">
        <v>7</v>
      </c>
    </row>
    <row r="9" spans="1:19" ht="68.25" customHeight="1" x14ac:dyDescent="0.2">
      <c r="A9" s="167"/>
      <c r="B9" s="167"/>
      <c r="C9" s="4"/>
      <c r="D9" s="4"/>
      <c r="E9" s="9" t="s">
        <v>7</v>
      </c>
      <c r="F9" s="7" t="s">
        <v>417</v>
      </c>
      <c r="G9" s="7" t="s">
        <v>408</v>
      </c>
      <c r="H9" s="64"/>
      <c r="I9" s="64">
        <f>3/6*100</f>
        <v>50</v>
      </c>
      <c r="J9" s="64">
        <f>3/6*100</f>
        <v>50</v>
      </c>
      <c r="K9" s="64">
        <f>3/6*100</f>
        <v>50</v>
      </c>
      <c r="L9" s="112">
        <v>0.57999999999999996</v>
      </c>
      <c r="M9" s="64">
        <v>63</v>
      </c>
      <c r="N9" s="65">
        <f>SUM(3/6)*100</f>
        <v>50</v>
      </c>
      <c r="O9" s="65">
        <f>SUM(3/6)*100</f>
        <v>50</v>
      </c>
      <c r="P9" s="65">
        <f>SUM(3/6)*100</f>
        <v>50</v>
      </c>
      <c r="Q9" s="112">
        <v>0.56000000000000005</v>
      </c>
      <c r="R9" s="134">
        <v>0.628571428571429</v>
      </c>
      <c r="S9" s="134">
        <v>0.628571428571429</v>
      </c>
    </row>
  </sheetData>
  <mergeCells count="7">
    <mergeCell ref="A2:N2"/>
    <mergeCell ref="A5:A9"/>
    <mergeCell ref="B5:B9"/>
    <mergeCell ref="C7:C8"/>
    <mergeCell ref="D7:D8"/>
    <mergeCell ref="C5:C6"/>
    <mergeCell ref="D5:D6"/>
  </mergeCells>
  <phoneticPr fontId="5" type="noConversion"/>
  <printOptions horizontalCentered="1" verticalCentered="1"/>
  <pageMargins left="0.23622047244094491" right="0.23622047244094491" top="0.74803149606299213" bottom="0.74803149606299213" header="0.31496062992125984" footer="0.31496062992125984"/>
  <pageSetup paperSize="5" scale="5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499984740745262"/>
    <pageSetUpPr fitToPage="1"/>
  </sheetPr>
  <dimension ref="A2:J9"/>
  <sheetViews>
    <sheetView topLeftCell="A6" zoomScale="80" zoomScaleNormal="80" workbookViewId="0">
      <selection activeCell="K9" sqref="K9"/>
    </sheetView>
  </sheetViews>
  <sheetFormatPr baseColWidth="10" defaultRowHeight="12.75" x14ac:dyDescent="0.2"/>
  <cols>
    <col min="1" max="1" width="5.7109375" style="1" bestFit="1" customWidth="1"/>
    <col min="2" max="2" width="11.42578125" style="1" customWidth="1"/>
    <col min="3" max="3" width="8.140625" style="1" bestFit="1" customWidth="1"/>
    <col min="4" max="4" width="23.140625" style="1" customWidth="1"/>
    <col min="5" max="5" width="9.42578125" style="1" customWidth="1"/>
    <col min="6" max="6" width="27.28515625" style="1" customWidth="1"/>
    <col min="7" max="7" width="28.28515625" style="1" customWidth="1"/>
    <col min="8" max="9" width="11.42578125" style="99"/>
    <col min="10" max="16384" width="11.42578125" style="1"/>
  </cols>
  <sheetData>
    <row r="2" spans="1:10" ht="21.75" customHeight="1" x14ac:dyDescent="0.2">
      <c r="A2" s="159" t="s">
        <v>201</v>
      </c>
      <c r="B2" s="159"/>
      <c r="C2" s="159"/>
      <c r="D2" s="159"/>
      <c r="E2" s="159"/>
      <c r="F2" s="159"/>
      <c r="G2" s="159"/>
    </row>
    <row r="4" spans="1:10" ht="74.25" customHeight="1" x14ac:dyDescent="0.2">
      <c r="A4" s="12" t="s">
        <v>51</v>
      </c>
      <c r="B4" s="13" t="s">
        <v>52</v>
      </c>
      <c r="C4" s="12" t="s">
        <v>72</v>
      </c>
      <c r="D4" s="13" t="s">
        <v>73</v>
      </c>
      <c r="E4" s="12" t="s">
        <v>74</v>
      </c>
      <c r="F4" s="13" t="s">
        <v>75</v>
      </c>
      <c r="G4" s="13" t="s">
        <v>196</v>
      </c>
      <c r="H4" s="53">
        <v>2020</v>
      </c>
      <c r="I4" s="53">
        <v>2021</v>
      </c>
      <c r="J4" s="53">
        <v>2022</v>
      </c>
    </row>
    <row r="5" spans="1:10" s="58" customFormat="1" ht="82.5" customHeight="1" x14ac:dyDescent="0.2">
      <c r="A5" s="168">
        <v>14</v>
      </c>
      <c r="B5" s="170" t="s">
        <v>197</v>
      </c>
      <c r="C5" s="203"/>
      <c r="D5" s="201"/>
      <c r="E5" s="8" t="s">
        <v>3</v>
      </c>
      <c r="F5" s="27" t="s">
        <v>418</v>
      </c>
      <c r="G5" s="27" t="s">
        <v>258</v>
      </c>
      <c r="H5" s="115">
        <v>0.8</v>
      </c>
      <c r="I5" s="112">
        <v>1</v>
      </c>
      <c r="J5" s="112">
        <v>1</v>
      </c>
    </row>
    <row r="6" spans="1:10" s="58" customFormat="1" ht="78" customHeight="1" x14ac:dyDescent="0.2">
      <c r="A6" s="183"/>
      <c r="B6" s="186"/>
      <c r="C6" s="203"/>
      <c r="D6" s="201"/>
      <c r="E6" s="8" t="s">
        <v>4</v>
      </c>
      <c r="F6" s="27" t="s">
        <v>154</v>
      </c>
      <c r="G6" s="27" t="s">
        <v>421</v>
      </c>
      <c r="H6" s="112">
        <v>1</v>
      </c>
      <c r="I6" s="112">
        <v>1</v>
      </c>
      <c r="J6" s="112">
        <v>1</v>
      </c>
    </row>
    <row r="7" spans="1:10" s="58" customFormat="1" ht="22.5" customHeight="1" x14ac:dyDescent="0.2">
      <c r="A7" s="183"/>
      <c r="B7" s="186"/>
      <c r="C7" s="203"/>
      <c r="D7" s="201"/>
      <c r="E7" s="8" t="s">
        <v>5</v>
      </c>
      <c r="F7" s="27" t="s">
        <v>420</v>
      </c>
      <c r="G7" s="28" t="s">
        <v>422</v>
      </c>
      <c r="H7" s="64">
        <v>2</v>
      </c>
      <c r="I7" s="64">
        <v>1</v>
      </c>
      <c r="J7" s="64">
        <v>1</v>
      </c>
    </row>
    <row r="8" spans="1:10" s="58" customFormat="1" ht="82.5" customHeight="1" x14ac:dyDescent="0.2">
      <c r="A8" s="183"/>
      <c r="B8" s="186"/>
      <c r="C8" s="204"/>
      <c r="D8" s="202"/>
      <c r="E8" s="8" t="s">
        <v>6</v>
      </c>
      <c r="F8" s="27" t="s">
        <v>419</v>
      </c>
      <c r="G8" s="27" t="s">
        <v>422</v>
      </c>
      <c r="H8" s="64">
        <v>2</v>
      </c>
      <c r="I8" s="64">
        <v>1</v>
      </c>
      <c r="J8" s="64">
        <v>1</v>
      </c>
    </row>
    <row r="9" spans="1:10" s="2" customFormat="1" ht="133.5" customHeight="1" x14ac:dyDescent="0.2">
      <c r="A9" s="169"/>
      <c r="B9" s="171"/>
      <c r="C9" s="5" t="s">
        <v>8</v>
      </c>
      <c r="D9" s="6" t="s">
        <v>123</v>
      </c>
      <c r="E9" s="8" t="s">
        <v>7</v>
      </c>
      <c r="F9" s="6" t="s">
        <v>124</v>
      </c>
      <c r="G9" s="6" t="s">
        <v>259</v>
      </c>
      <c r="H9" s="64">
        <v>1</v>
      </c>
      <c r="I9" s="64">
        <v>1</v>
      </c>
      <c r="J9" s="64">
        <v>1</v>
      </c>
    </row>
  </sheetData>
  <mergeCells count="5">
    <mergeCell ref="D5:D8"/>
    <mergeCell ref="A5:A9"/>
    <mergeCell ref="B5:B9"/>
    <mergeCell ref="C5:C8"/>
    <mergeCell ref="A2:G2"/>
  </mergeCells>
  <phoneticPr fontId="5" type="noConversion"/>
  <printOptions horizontalCentered="1" verticalCentered="1"/>
  <pageMargins left="0.31496062992125984" right="0.31496062992125984" top="0.74803149606299213" bottom="0.74803149606299213" header="0.31496062992125984" footer="0.31496062992125984"/>
  <pageSetup paperSize="5" scale="9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pageSetUpPr fitToPage="1"/>
  </sheetPr>
  <dimension ref="A2:S7"/>
  <sheetViews>
    <sheetView topLeftCell="E1" zoomScale="80" zoomScaleNormal="80" zoomScaleSheetLayoutView="80" workbookViewId="0">
      <selection activeCell="F7" sqref="F7"/>
    </sheetView>
  </sheetViews>
  <sheetFormatPr baseColWidth="10" defaultRowHeight="12.75" x14ac:dyDescent="0.2"/>
  <cols>
    <col min="1" max="1" width="5.7109375" style="1" bestFit="1" customWidth="1"/>
    <col min="2" max="2" width="10.85546875" style="1" customWidth="1"/>
    <col min="3" max="3" width="10" style="1" customWidth="1"/>
    <col min="4" max="4" width="25.5703125" style="1" customWidth="1"/>
    <col min="5" max="5" width="9.42578125" style="1" customWidth="1"/>
    <col min="6" max="6" width="43.28515625" style="1" customWidth="1"/>
    <col min="7" max="7" width="22.42578125" style="1" customWidth="1"/>
    <col min="8" max="8" width="9.28515625" style="1" bestFit="1" customWidth="1"/>
    <col min="9" max="11" width="9.85546875" style="1" bestFit="1" customWidth="1"/>
    <col min="12" max="14" width="9.28515625" style="1" bestFit="1" customWidth="1"/>
    <col min="15" max="15" width="7.28515625" style="1" bestFit="1" customWidth="1"/>
    <col min="16" max="16" width="8.7109375" style="1" bestFit="1" customWidth="1"/>
    <col min="17" max="18" width="9.28515625" style="1" bestFit="1" customWidth="1"/>
    <col min="19" max="16384" width="11.42578125" style="1"/>
  </cols>
  <sheetData>
    <row r="2" spans="1:19" ht="21.75" customHeight="1" x14ac:dyDescent="0.2">
      <c r="A2" s="159" t="s">
        <v>201</v>
      </c>
      <c r="B2" s="159"/>
      <c r="C2" s="159"/>
      <c r="D2" s="159"/>
      <c r="E2" s="159"/>
      <c r="F2" s="159"/>
      <c r="G2" s="159"/>
    </row>
    <row r="4" spans="1:19" ht="66" customHeight="1" x14ac:dyDescent="0.2">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13">
        <v>2022</v>
      </c>
    </row>
    <row r="5" spans="1:19" ht="27.75" customHeight="1" x14ac:dyDescent="0.2">
      <c r="A5" s="156" t="s">
        <v>90</v>
      </c>
      <c r="B5" s="163" t="s">
        <v>86</v>
      </c>
      <c r="C5" s="5" t="s">
        <v>3</v>
      </c>
      <c r="D5" s="6" t="s">
        <v>87</v>
      </c>
      <c r="E5" s="5" t="s">
        <v>3</v>
      </c>
      <c r="F5" s="6" t="s">
        <v>88</v>
      </c>
      <c r="G5" s="24"/>
      <c r="H5" s="95" t="s">
        <v>277</v>
      </c>
      <c r="I5" s="95" t="s">
        <v>277</v>
      </c>
      <c r="J5" s="95" t="s">
        <v>278</v>
      </c>
      <c r="K5" s="95" t="s">
        <v>279</v>
      </c>
      <c r="L5" s="95" t="s">
        <v>277</v>
      </c>
      <c r="M5" s="95" t="s">
        <v>277</v>
      </c>
      <c r="N5" s="95" t="s">
        <v>277</v>
      </c>
      <c r="O5" s="95" t="s">
        <v>277</v>
      </c>
      <c r="P5" s="95" t="s">
        <v>277</v>
      </c>
      <c r="Q5" s="95" t="s">
        <v>277</v>
      </c>
      <c r="R5" s="95" t="s">
        <v>277</v>
      </c>
      <c r="S5" s="95" t="s">
        <v>277</v>
      </c>
    </row>
    <row r="6" spans="1:19" ht="48.75" customHeight="1" x14ac:dyDescent="0.2">
      <c r="A6" s="156"/>
      <c r="B6" s="163"/>
      <c r="C6" s="8" t="s">
        <v>4</v>
      </c>
      <c r="D6" s="7" t="s">
        <v>89</v>
      </c>
      <c r="E6" s="5" t="s">
        <v>4</v>
      </c>
      <c r="F6" s="7" t="s">
        <v>442</v>
      </c>
      <c r="G6" s="4"/>
      <c r="H6" s="32" t="s">
        <v>280</v>
      </c>
      <c r="I6" s="32" t="s">
        <v>281</v>
      </c>
      <c r="J6" s="32" t="s">
        <v>282</v>
      </c>
      <c r="K6" s="32" t="s">
        <v>283</v>
      </c>
      <c r="L6" s="32" t="s">
        <v>292</v>
      </c>
      <c r="M6" s="32" t="s">
        <v>292</v>
      </c>
      <c r="N6" s="32" t="s">
        <v>294</v>
      </c>
      <c r="O6" s="31"/>
      <c r="P6" s="32" t="s">
        <v>298</v>
      </c>
      <c r="Q6" s="32" t="s">
        <v>297</v>
      </c>
      <c r="R6" s="32" t="s">
        <v>407</v>
      </c>
      <c r="S6" s="32" t="s">
        <v>441</v>
      </c>
    </row>
    <row r="7" spans="1:19" ht="34.5" customHeight="1" x14ac:dyDescent="0.2">
      <c r="A7" s="156"/>
      <c r="B7" s="167"/>
      <c r="C7" s="4"/>
      <c r="D7" s="4"/>
      <c r="E7" s="5" t="s">
        <v>5</v>
      </c>
      <c r="F7" s="7" t="s">
        <v>443</v>
      </c>
      <c r="G7" s="4"/>
      <c r="H7" s="31">
        <v>54.25</v>
      </c>
      <c r="I7" s="31">
        <v>54.75</v>
      </c>
      <c r="J7" s="31">
        <v>57.9</v>
      </c>
      <c r="K7" s="28">
        <v>106.24</v>
      </c>
      <c r="L7" s="28">
        <v>40.255000000000003</v>
      </c>
      <c r="M7" s="28">
        <v>40.255000000000003</v>
      </c>
      <c r="N7" s="60">
        <v>40255</v>
      </c>
      <c r="O7" s="60">
        <v>40255</v>
      </c>
      <c r="P7" s="60">
        <v>40255</v>
      </c>
      <c r="Q7" s="60">
        <v>40255</v>
      </c>
      <c r="R7" s="60">
        <v>40255</v>
      </c>
      <c r="S7" s="60">
        <v>40256</v>
      </c>
    </row>
  </sheetData>
  <mergeCells count="3">
    <mergeCell ref="A5:A7"/>
    <mergeCell ref="B5:B7"/>
    <mergeCell ref="A2:G2"/>
  </mergeCells>
  <phoneticPr fontId="5" type="noConversion"/>
  <printOptions horizontalCentered="1" verticalCentered="1"/>
  <pageMargins left="0.31496062992125984" right="0.31496062992125984" top="0.74803149606299213" bottom="0.74803149606299213" header="0.31496062992125984" footer="0.31496062992125984"/>
  <pageSetup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72B9-FE3B-4C1C-96FC-B85E33E7C930}">
  <sheetPr>
    <tabColor theme="4" tint="-0.249977111117893"/>
  </sheetPr>
  <dimension ref="C2:C68"/>
  <sheetViews>
    <sheetView topLeftCell="A67" workbookViewId="0">
      <selection activeCell="C2" sqref="C2:C68"/>
    </sheetView>
  </sheetViews>
  <sheetFormatPr baseColWidth="10" defaultRowHeight="15" x14ac:dyDescent="0.25"/>
  <sheetData>
    <row r="2" spans="3:3" x14ac:dyDescent="0.25">
      <c r="C2">
        <v>13</v>
      </c>
    </row>
    <row r="5" spans="3:3" x14ac:dyDescent="0.25">
      <c r="C5">
        <v>11</v>
      </c>
    </row>
    <row r="8" spans="3:3" x14ac:dyDescent="0.25">
      <c r="C8">
        <v>8</v>
      </c>
    </row>
    <row r="11" spans="3:3" x14ac:dyDescent="0.25">
      <c r="C11">
        <v>4.5</v>
      </c>
    </row>
    <row r="12" spans="3:3" x14ac:dyDescent="0.25">
      <c r="C12" t="s">
        <v>306</v>
      </c>
    </row>
    <row r="13" spans="3:3" x14ac:dyDescent="0.25">
      <c r="C13" t="s">
        <v>305</v>
      </c>
    </row>
    <row r="14" spans="3:3" x14ac:dyDescent="0.25">
      <c r="C14">
        <v>2</v>
      </c>
    </row>
    <row r="15" spans="3:3" x14ac:dyDescent="0.25">
      <c r="C15" t="s">
        <v>307</v>
      </c>
    </row>
    <row r="16" spans="3:3" x14ac:dyDescent="0.25">
      <c r="C16" t="s">
        <v>305</v>
      </c>
    </row>
    <row r="17" spans="3:3" x14ac:dyDescent="0.25">
      <c r="C17">
        <v>18.5</v>
      </c>
    </row>
    <row r="18" spans="3:3" x14ac:dyDescent="0.25">
      <c r="C18" t="s">
        <v>308</v>
      </c>
    </row>
    <row r="19" spans="3:3" x14ac:dyDescent="0.25">
      <c r="C19" t="s">
        <v>305</v>
      </c>
    </row>
    <row r="20" spans="3:3" x14ac:dyDescent="0.25">
      <c r="C20">
        <v>16</v>
      </c>
    </row>
    <row r="21" spans="3:3" x14ac:dyDescent="0.25">
      <c r="C21" t="s">
        <v>309</v>
      </c>
    </row>
    <row r="22" spans="3:3" x14ac:dyDescent="0.25">
      <c r="C22" t="s">
        <v>305</v>
      </c>
    </row>
    <row r="23" spans="3:3" x14ac:dyDescent="0.25">
      <c r="C23" s="62">
        <v>2270</v>
      </c>
    </row>
    <row r="24" spans="3:3" x14ac:dyDescent="0.25">
      <c r="C24" t="s">
        <v>310</v>
      </c>
    </row>
    <row r="25" spans="3:3" x14ac:dyDescent="0.25">
      <c r="C25" t="s">
        <v>305</v>
      </c>
    </row>
    <row r="26" spans="3:3" x14ac:dyDescent="0.25">
      <c r="C26">
        <v>12</v>
      </c>
    </row>
    <row r="27" spans="3:3" x14ac:dyDescent="0.25">
      <c r="C27" t="s">
        <v>311</v>
      </c>
    </row>
    <row r="28" spans="3:3" x14ac:dyDescent="0.25">
      <c r="C28" t="s">
        <v>305</v>
      </c>
    </row>
    <row r="29" spans="3:3" x14ac:dyDescent="0.25">
      <c r="C29">
        <v>162</v>
      </c>
    </row>
    <row r="30" spans="3:3" x14ac:dyDescent="0.25">
      <c r="C30" t="s">
        <v>312</v>
      </c>
    </row>
    <row r="31" spans="3:3" x14ac:dyDescent="0.25">
      <c r="C31" t="s">
        <v>305</v>
      </c>
    </row>
    <row r="32" spans="3:3" x14ac:dyDescent="0.25">
      <c r="C32">
        <v>541</v>
      </c>
    </row>
    <row r="33" spans="3:3" x14ac:dyDescent="0.25">
      <c r="C33" t="s">
        <v>313</v>
      </c>
    </row>
    <row r="34" spans="3:3" x14ac:dyDescent="0.25">
      <c r="C34" t="s">
        <v>305</v>
      </c>
    </row>
    <row r="35" spans="3:3" x14ac:dyDescent="0.25">
      <c r="C35">
        <v>7</v>
      </c>
    </row>
    <row r="36" spans="3:3" x14ac:dyDescent="0.25">
      <c r="C36" t="s">
        <v>314</v>
      </c>
    </row>
    <row r="37" spans="3:3" x14ac:dyDescent="0.25">
      <c r="C37" t="s">
        <v>305</v>
      </c>
    </row>
    <row r="38" spans="3:3" x14ac:dyDescent="0.25">
      <c r="C38" s="62">
        <v>1869</v>
      </c>
    </row>
    <row r="39" spans="3:3" x14ac:dyDescent="0.25">
      <c r="C39" t="s">
        <v>315</v>
      </c>
    </row>
    <row r="40" spans="3:3" x14ac:dyDescent="0.25">
      <c r="C40" t="s">
        <v>305</v>
      </c>
    </row>
    <row r="41" spans="3:3" x14ac:dyDescent="0.25">
      <c r="C41">
        <v>1</v>
      </c>
    </row>
    <row r="42" spans="3:3" x14ac:dyDescent="0.25">
      <c r="C42" t="s">
        <v>316</v>
      </c>
    </row>
    <row r="43" spans="3:3" x14ac:dyDescent="0.25">
      <c r="C43" t="s">
        <v>305</v>
      </c>
    </row>
    <row r="44" spans="3:3" x14ac:dyDescent="0.25">
      <c r="C44">
        <v>2</v>
      </c>
    </row>
    <row r="45" spans="3:3" x14ac:dyDescent="0.25">
      <c r="C45" t="s">
        <v>317</v>
      </c>
    </row>
    <row r="46" spans="3:3" x14ac:dyDescent="0.25">
      <c r="C46" t="s">
        <v>305</v>
      </c>
    </row>
    <row r="47" spans="3:3" x14ac:dyDescent="0.25">
      <c r="C47">
        <v>2</v>
      </c>
    </row>
    <row r="48" spans="3:3" x14ac:dyDescent="0.25">
      <c r="C48" t="s">
        <v>318</v>
      </c>
    </row>
    <row r="49" spans="3:3" x14ac:dyDescent="0.25">
      <c r="C49" t="s">
        <v>305</v>
      </c>
    </row>
    <row r="50" spans="3:3" x14ac:dyDescent="0.25">
      <c r="C50">
        <v>44</v>
      </c>
    </row>
    <row r="51" spans="3:3" x14ac:dyDescent="0.25">
      <c r="C51" t="s">
        <v>319</v>
      </c>
    </row>
    <row r="52" spans="3:3" x14ac:dyDescent="0.25">
      <c r="C52" t="s">
        <v>305</v>
      </c>
    </row>
    <row r="53" spans="3:3" x14ac:dyDescent="0.25">
      <c r="C53">
        <v>20</v>
      </c>
    </row>
    <row r="54" spans="3:3" x14ac:dyDescent="0.25">
      <c r="C54" t="s">
        <v>320</v>
      </c>
    </row>
    <row r="55" spans="3:3" x14ac:dyDescent="0.25">
      <c r="C55" t="s">
        <v>305</v>
      </c>
    </row>
    <row r="56" spans="3:3" x14ac:dyDescent="0.25">
      <c r="C56">
        <v>2</v>
      </c>
    </row>
    <row r="57" spans="3:3" x14ac:dyDescent="0.25">
      <c r="C57" t="s">
        <v>321</v>
      </c>
    </row>
    <row r="58" spans="3:3" x14ac:dyDescent="0.25">
      <c r="C58" t="s">
        <v>305</v>
      </c>
    </row>
    <row r="59" spans="3:3" x14ac:dyDescent="0.25">
      <c r="C59">
        <v>1</v>
      </c>
    </row>
    <row r="60" spans="3:3" x14ac:dyDescent="0.25">
      <c r="C60" t="s">
        <v>322</v>
      </c>
    </row>
    <row r="61" spans="3:3" x14ac:dyDescent="0.25">
      <c r="C61" t="s">
        <v>305</v>
      </c>
    </row>
    <row r="62" spans="3:3" x14ac:dyDescent="0.25">
      <c r="C62">
        <v>3</v>
      </c>
    </row>
    <row r="63" spans="3:3" x14ac:dyDescent="0.25">
      <c r="C63" t="s">
        <v>323</v>
      </c>
    </row>
    <row r="64" spans="3:3" x14ac:dyDescent="0.25">
      <c r="C64" t="s">
        <v>305</v>
      </c>
    </row>
    <row r="65" spans="3:3" x14ac:dyDescent="0.25">
      <c r="C65">
        <v>40</v>
      </c>
    </row>
    <row r="66" spans="3:3" x14ac:dyDescent="0.25">
      <c r="C66" t="s">
        <v>324</v>
      </c>
    </row>
    <row r="67" spans="3:3" x14ac:dyDescent="0.25">
      <c r="C67" t="s">
        <v>305</v>
      </c>
    </row>
    <row r="68" spans="3:3" x14ac:dyDescent="0.25">
      <c r="C68">
        <v>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499984740745262"/>
    <pageSetUpPr fitToPage="1"/>
  </sheetPr>
  <dimension ref="A2:S8"/>
  <sheetViews>
    <sheetView topLeftCell="C1" zoomScaleNormal="100" zoomScaleSheetLayoutView="80" workbookViewId="0">
      <selection activeCell="S6" sqref="S6"/>
    </sheetView>
  </sheetViews>
  <sheetFormatPr baseColWidth="10" defaultRowHeight="12.75" x14ac:dyDescent="0.2"/>
  <cols>
    <col min="1" max="1" width="6" style="1" bestFit="1" customWidth="1"/>
    <col min="2" max="2" width="8" style="1" customWidth="1"/>
    <col min="3" max="3" width="12.140625" style="1" customWidth="1"/>
    <col min="4" max="4" width="28.42578125" style="1" customWidth="1"/>
    <col min="5" max="5" width="11.28515625" style="1" customWidth="1"/>
    <col min="6" max="6" width="26.5703125" style="1" customWidth="1"/>
    <col min="7" max="7" width="19.85546875" style="1" customWidth="1"/>
    <col min="8" max="8" width="5.5703125" style="1" bestFit="1" customWidth="1"/>
    <col min="9" max="10" width="6" style="1" bestFit="1" customWidth="1"/>
    <col min="11" max="11" width="5.5703125" style="1" bestFit="1" customWidth="1"/>
    <col min="12" max="12" width="7.7109375" style="1" bestFit="1" customWidth="1"/>
    <col min="13" max="13" width="5.5703125" style="1" bestFit="1" customWidth="1"/>
    <col min="14" max="14" width="8" style="1" bestFit="1" customWidth="1"/>
    <col min="15" max="16" width="5.5703125" style="1" bestFit="1" customWidth="1"/>
    <col min="17" max="17" width="6.5703125" style="1" bestFit="1" customWidth="1"/>
    <col min="18" max="18" width="6" style="1" bestFit="1" customWidth="1"/>
    <col min="19" max="19" width="5.28515625" style="1" bestFit="1" customWidth="1"/>
    <col min="20" max="16384" width="11.42578125" style="1"/>
  </cols>
  <sheetData>
    <row r="2" spans="1:19" ht="21.75" customHeight="1" x14ac:dyDescent="0.2">
      <c r="A2" s="159" t="s">
        <v>201</v>
      </c>
      <c r="B2" s="159"/>
      <c r="C2" s="159"/>
      <c r="D2" s="159"/>
      <c r="E2" s="159"/>
      <c r="F2" s="159"/>
      <c r="G2" s="159"/>
      <c r="H2" s="159"/>
      <c r="I2" s="159"/>
      <c r="J2" s="159"/>
      <c r="K2" s="159"/>
      <c r="L2" s="159"/>
      <c r="M2" s="159"/>
      <c r="N2" s="159"/>
    </row>
    <row r="4" spans="1:19" ht="45.75" x14ac:dyDescent="0.2">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53">
        <v>2022</v>
      </c>
    </row>
    <row r="5" spans="1:19" ht="82.5" customHeight="1" x14ac:dyDescent="0.2">
      <c r="A5" s="158" t="s">
        <v>42</v>
      </c>
      <c r="B5" s="157" t="s">
        <v>60</v>
      </c>
      <c r="C5" s="9" t="s">
        <v>39</v>
      </c>
      <c r="D5" s="27" t="s">
        <v>61</v>
      </c>
      <c r="E5" s="9" t="s">
        <v>3</v>
      </c>
      <c r="F5" s="27" t="s">
        <v>32</v>
      </c>
      <c r="G5" s="21" t="s">
        <v>230</v>
      </c>
      <c r="H5" s="64"/>
      <c r="I5" s="64"/>
      <c r="J5" s="64"/>
      <c r="K5" s="64"/>
      <c r="L5" s="110">
        <v>0.38419999999999999</v>
      </c>
      <c r="M5" s="64">
        <v>59.4</v>
      </c>
      <c r="N5" s="134">
        <f>SUM(6662/13520)</f>
        <v>0.49275147928994084</v>
      </c>
      <c r="O5" s="64"/>
      <c r="P5" s="64"/>
      <c r="Q5" s="64">
        <v>11.85</v>
      </c>
      <c r="R5" s="67">
        <f>(5490/11878)*100</f>
        <v>46.219902340461353</v>
      </c>
      <c r="S5" s="64">
        <v>52.87</v>
      </c>
    </row>
    <row r="6" spans="1:19" ht="108.75" customHeight="1" x14ac:dyDescent="0.2">
      <c r="A6" s="158"/>
      <c r="B6" s="157"/>
      <c r="C6" s="9" t="s">
        <v>40</v>
      </c>
      <c r="D6" s="27" t="s">
        <v>62</v>
      </c>
      <c r="E6" s="9" t="s">
        <v>4</v>
      </c>
      <c r="F6" s="27" t="s">
        <v>430</v>
      </c>
      <c r="G6" s="27" t="s">
        <v>231</v>
      </c>
      <c r="H6" s="65">
        <f>28/1393*100</f>
        <v>2.0100502512562812</v>
      </c>
      <c r="I6" s="65">
        <f>5/1399*100</f>
        <v>0.35739814152966404</v>
      </c>
      <c r="J6" s="65">
        <f>17/1405*100</f>
        <v>1.2099644128113878</v>
      </c>
      <c r="K6" s="65">
        <f>16/1417*100</f>
        <v>1.1291460832745237</v>
      </c>
      <c r="L6" s="65">
        <v>2.7</v>
      </c>
      <c r="M6" s="65">
        <v>2.6</v>
      </c>
      <c r="N6" s="65">
        <f>SUM(38/1444)*100</f>
        <v>2.6315789473684208</v>
      </c>
      <c r="O6" s="64"/>
      <c r="P6" s="64"/>
      <c r="Q6" s="64">
        <v>2.5</v>
      </c>
      <c r="R6" s="65">
        <f>(478/1473)*100</f>
        <v>32.450780719619829</v>
      </c>
      <c r="S6" s="65">
        <v>59.92</v>
      </c>
    </row>
    <row r="7" spans="1:19" ht="87.75" customHeight="1" x14ac:dyDescent="0.2">
      <c r="A7" s="158"/>
      <c r="B7" s="157"/>
      <c r="C7" s="9" t="s">
        <v>41</v>
      </c>
      <c r="D7" s="27" t="s">
        <v>63</v>
      </c>
      <c r="E7" s="9" t="s">
        <v>5</v>
      </c>
      <c r="F7" s="27" t="s">
        <v>33</v>
      </c>
      <c r="G7" s="27" t="s">
        <v>232</v>
      </c>
      <c r="H7" s="65">
        <f>141/12033*100</f>
        <v>1.1717776115681875</v>
      </c>
      <c r="I7" s="65">
        <f>64/12073*100</f>
        <v>0.53010850658494157</v>
      </c>
      <c r="J7" s="65">
        <f>149/12116*100</f>
        <v>1.2297788048861009</v>
      </c>
      <c r="K7" s="65">
        <f>165/12161*100</f>
        <v>1.3567963160924266</v>
      </c>
      <c r="L7" s="65">
        <v>2.5499999999999998</v>
      </c>
      <c r="M7" s="65">
        <v>1.9</v>
      </c>
      <c r="N7" s="65">
        <f>SUM(488/12076*100)</f>
        <v>4.0410732030473673</v>
      </c>
      <c r="O7" s="64"/>
      <c r="P7" s="64"/>
      <c r="Q7" s="64">
        <v>3.34</v>
      </c>
      <c r="R7" s="65">
        <f>(240/11878)*100</f>
        <v>2.0205421788179829</v>
      </c>
      <c r="S7" s="64">
        <v>2.59</v>
      </c>
    </row>
    <row r="8" spans="1:19" ht="70.5" customHeight="1" x14ac:dyDescent="0.2">
      <c r="A8" s="158"/>
      <c r="B8" s="157"/>
      <c r="C8" s="9" t="s">
        <v>42</v>
      </c>
      <c r="D8" s="27" t="s">
        <v>64</v>
      </c>
      <c r="E8" s="9" t="s">
        <v>6</v>
      </c>
      <c r="F8" s="27" t="s">
        <v>34</v>
      </c>
      <c r="G8" s="27" t="s">
        <v>233</v>
      </c>
      <c r="H8" s="64"/>
      <c r="I8" s="65">
        <f>5/6*100</f>
        <v>83.333333333333343</v>
      </c>
      <c r="J8" s="65">
        <f>5/6*100</f>
        <v>83.333333333333343</v>
      </c>
      <c r="K8" s="64">
        <f>6/6*100</f>
        <v>100</v>
      </c>
      <c r="L8" s="64">
        <v>83.33</v>
      </c>
      <c r="M8" s="64">
        <v>3.33</v>
      </c>
      <c r="N8" s="135">
        <f>SUM(8/14)</f>
        <v>0.5714285714285714</v>
      </c>
      <c r="O8" s="64">
        <f>6/6*100</f>
        <v>100</v>
      </c>
      <c r="P8" s="64"/>
      <c r="Q8" s="136">
        <f>(2/6)*100</f>
        <v>33.333333333333329</v>
      </c>
      <c r="R8" s="65">
        <f>(4/6)*100</f>
        <v>66.666666666666657</v>
      </c>
      <c r="S8" s="112">
        <v>1</v>
      </c>
    </row>
  </sheetData>
  <mergeCells count="3">
    <mergeCell ref="B5:B8"/>
    <mergeCell ref="A5:A8"/>
    <mergeCell ref="A2:N2"/>
  </mergeCells>
  <phoneticPr fontId="5" type="noConversion"/>
  <printOptions horizontalCentered="1" verticalCentered="1"/>
  <pageMargins left="0.23622047244094491" right="0.23622047244094491" top="0.74803149606299213" bottom="0.74803149606299213" header="0.31496062992125984" footer="0.31496062992125984"/>
  <pageSetup paperSize="5" scale="96"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499984740745262"/>
  </sheetPr>
  <dimension ref="A2:S29"/>
  <sheetViews>
    <sheetView topLeftCell="F6" zoomScale="80" zoomScaleNormal="80" zoomScaleSheetLayoutView="75" workbookViewId="0">
      <selection activeCell="S27" sqref="S27"/>
    </sheetView>
  </sheetViews>
  <sheetFormatPr baseColWidth="10" defaultRowHeight="12.75" x14ac:dyDescent="0.2"/>
  <cols>
    <col min="1" max="1" width="5.7109375" style="1" bestFit="1" customWidth="1"/>
    <col min="2" max="2" width="11.42578125" style="1" customWidth="1"/>
    <col min="3" max="3" width="8.140625" style="1" bestFit="1" customWidth="1"/>
    <col min="4" max="4" width="23.140625" style="1" customWidth="1"/>
    <col min="5" max="5" width="8.140625" style="1" bestFit="1" customWidth="1"/>
    <col min="6" max="6" width="47.7109375" style="1" customWidth="1"/>
    <col min="7" max="7" width="31.42578125" style="1" customWidth="1"/>
    <col min="8" max="15" width="11.42578125" style="1"/>
    <col min="16" max="16" width="12" style="1" customWidth="1"/>
    <col min="17" max="17" width="13.85546875" style="1" customWidth="1"/>
    <col min="18" max="16384" width="11.42578125" style="1"/>
  </cols>
  <sheetData>
    <row r="2" spans="1:19" ht="21.75" customHeight="1" x14ac:dyDescent="0.2">
      <c r="A2" s="159" t="s">
        <v>201</v>
      </c>
      <c r="B2" s="159"/>
      <c r="C2" s="159"/>
      <c r="D2" s="159"/>
      <c r="E2" s="159"/>
      <c r="F2" s="159"/>
      <c r="G2" s="159"/>
      <c r="H2" s="159"/>
      <c r="I2" s="159"/>
      <c r="J2" s="159"/>
      <c r="K2" s="159"/>
      <c r="L2" s="159"/>
      <c r="M2" s="159"/>
    </row>
    <row r="4" spans="1:19" s="99" customFormat="1" ht="79.5" customHeight="1" x14ac:dyDescent="0.25">
      <c r="A4" s="12" t="s">
        <v>51</v>
      </c>
      <c r="B4" s="13" t="s">
        <v>52</v>
      </c>
      <c r="C4" s="12" t="s">
        <v>72</v>
      </c>
      <c r="D4" s="13" t="s">
        <v>73</v>
      </c>
      <c r="E4" s="12" t="s">
        <v>74</v>
      </c>
      <c r="F4" s="13" t="s">
        <v>75</v>
      </c>
      <c r="G4" s="13" t="s">
        <v>196</v>
      </c>
      <c r="H4" s="13">
        <v>2011</v>
      </c>
      <c r="I4" s="13">
        <v>2012</v>
      </c>
      <c r="J4" s="13">
        <v>2013</v>
      </c>
      <c r="K4" s="13">
        <v>2014</v>
      </c>
      <c r="L4" s="13">
        <v>2015</v>
      </c>
      <c r="M4" s="13">
        <v>2016</v>
      </c>
      <c r="N4" s="13">
        <v>2017</v>
      </c>
      <c r="O4" s="13">
        <v>2018</v>
      </c>
      <c r="P4" s="13">
        <v>2019</v>
      </c>
      <c r="Q4" s="13">
        <v>2020</v>
      </c>
      <c r="R4" s="13">
        <v>2021</v>
      </c>
      <c r="S4" s="53">
        <v>2022</v>
      </c>
    </row>
    <row r="5" spans="1:19" s="99" customFormat="1" ht="84" customHeight="1" x14ac:dyDescent="0.25">
      <c r="A5" s="158" t="s">
        <v>200</v>
      </c>
      <c r="B5" s="157" t="s">
        <v>125</v>
      </c>
      <c r="C5" s="158" t="s">
        <v>3</v>
      </c>
      <c r="D5" s="157" t="s">
        <v>126</v>
      </c>
      <c r="E5" s="8" t="s">
        <v>3</v>
      </c>
      <c r="F5" s="27" t="s">
        <v>127</v>
      </c>
      <c r="G5" s="27" t="s">
        <v>216</v>
      </c>
      <c r="H5" s="64">
        <v>1</v>
      </c>
      <c r="I5" s="64">
        <v>7</v>
      </c>
      <c r="J5" s="64">
        <v>3</v>
      </c>
      <c r="K5" s="64">
        <v>1</v>
      </c>
      <c r="L5" s="64"/>
      <c r="M5" s="64">
        <v>0</v>
      </c>
      <c r="N5" s="64"/>
      <c r="O5" s="64"/>
      <c r="P5" s="64"/>
      <c r="Q5" s="64">
        <v>0</v>
      </c>
      <c r="R5" s="64">
        <v>0</v>
      </c>
      <c r="S5" s="64">
        <v>0</v>
      </c>
    </row>
    <row r="6" spans="1:19" s="99" customFormat="1" ht="91.5" customHeight="1" x14ac:dyDescent="0.25">
      <c r="A6" s="205"/>
      <c r="B6" s="157"/>
      <c r="C6" s="205"/>
      <c r="D6" s="205"/>
      <c r="E6" s="8" t="s">
        <v>4</v>
      </c>
      <c r="F6" s="27" t="s">
        <v>128</v>
      </c>
      <c r="G6" s="27" t="s">
        <v>260</v>
      </c>
      <c r="H6" s="64">
        <v>0.02</v>
      </c>
      <c r="I6" s="64">
        <v>0.16</v>
      </c>
      <c r="J6" s="64">
        <v>7.0000000000000007E-2</v>
      </c>
      <c r="K6" s="64">
        <v>0.02</v>
      </c>
      <c r="L6" s="64"/>
      <c r="M6" s="64">
        <v>0</v>
      </c>
      <c r="N6" s="64"/>
      <c r="O6" s="64"/>
      <c r="P6" s="64"/>
      <c r="Q6" s="64">
        <v>0</v>
      </c>
      <c r="R6" s="64">
        <v>0</v>
      </c>
      <c r="S6" s="64">
        <v>0</v>
      </c>
    </row>
    <row r="7" spans="1:19" s="99" customFormat="1" ht="84.75" customHeight="1" x14ac:dyDescent="0.25">
      <c r="A7" s="205"/>
      <c r="B7" s="157"/>
      <c r="C7" s="158" t="s">
        <v>4</v>
      </c>
      <c r="D7" s="157" t="s">
        <v>129</v>
      </c>
      <c r="E7" s="8" t="s">
        <v>5</v>
      </c>
      <c r="F7" s="27" t="s">
        <v>130</v>
      </c>
      <c r="G7" s="27" t="s">
        <v>431</v>
      </c>
      <c r="H7" s="124">
        <f>18/18</f>
        <v>1</v>
      </c>
      <c r="I7" s="124">
        <f>13/13</f>
        <v>1</v>
      </c>
      <c r="J7" s="124">
        <f>9/9</f>
        <v>1</v>
      </c>
      <c r="K7" s="124">
        <f>16/23</f>
        <v>0.69565217391304346</v>
      </c>
      <c r="L7" s="124"/>
      <c r="M7" s="124">
        <v>0.23</v>
      </c>
      <c r="N7" s="124"/>
      <c r="O7" s="124"/>
      <c r="P7" s="124"/>
      <c r="Q7" s="112">
        <v>1</v>
      </c>
      <c r="R7" s="112">
        <v>1</v>
      </c>
      <c r="S7" s="112">
        <v>1</v>
      </c>
    </row>
    <row r="8" spans="1:19" s="99" customFormat="1" ht="35.25" customHeight="1" x14ac:dyDescent="0.25">
      <c r="A8" s="205"/>
      <c r="B8" s="157"/>
      <c r="C8" s="157"/>
      <c r="D8" s="157"/>
      <c r="E8" s="8" t="s">
        <v>6</v>
      </c>
      <c r="F8" s="27" t="s">
        <v>131</v>
      </c>
      <c r="G8" s="21" t="s">
        <v>216</v>
      </c>
      <c r="H8" s="64"/>
      <c r="I8" s="64">
        <v>4</v>
      </c>
      <c r="J8" s="64">
        <v>5</v>
      </c>
      <c r="K8" s="64">
        <v>4</v>
      </c>
      <c r="L8" s="64"/>
      <c r="M8" s="64">
        <v>1</v>
      </c>
      <c r="N8" s="64"/>
      <c r="O8" s="64"/>
      <c r="P8" s="64"/>
      <c r="Q8" s="64">
        <v>2</v>
      </c>
      <c r="R8" s="64">
        <v>5</v>
      </c>
      <c r="S8" s="64">
        <v>4</v>
      </c>
    </row>
    <row r="9" spans="1:19" s="129" customFormat="1" ht="87" customHeight="1" x14ac:dyDescent="0.25">
      <c r="A9" s="205"/>
      <c r="B9" s="157"/>
      <c r="C9" s="158"/>
      <c r="D9" s="170" t="s">
        <v>132</v>
      </c>
      <c r="E9" s="125" t="s">
        <v>7</v>
      </c>
      <c r="F9" s="126" t="s">
        <v>261</v>
      </c>
      <c r="G9" s="126" t="s">
        <v>262</v>
      </c>
      <c r="H9" s="127">
        <v>1</v>
      </c>
      <c r="I9" s="127">
        <v>1</v>
      </c>
      <c r="J9" s="127">
        <v>1</v>
      </c>
      <c r="K9" s="127">
        <v>1</v>
      </c>
      <c r="L9" s="127">
        <v>1</v>
      </c>
      <c r="M9" s="127">
        <v>1</v>
      </c>
      <c r="N9" s="127">
        <v>1</v>
      </c>
      <c r="O9" s="127">
        <v>1</v>
      </c>
      <c r="P9" s="127">
        <v>1</v>
      </c>
      <c r="Q9" s="128">
        <v>1</v>
      </c>
      <c r="R9" s="128">
        <v>1</v>
      </c>
      <c r="S9" s="128">
        <v>1</v>
      </c>
    </row>
    <row r="10" spans="1:19" s="129" customFormat="1" ht="61.5" customHeight="1" x14ac:dyDescent="0.25">
      <c r="A10" s="205"/>
      <c r="B10" s="157"/>
      <c r="C10" s="158"/>
      <c r="D10" s="186"/>
      <c r="E10" s="125" t="s">
        <v>8</v>
      </c>
      <c r="F10" s="126" t="s">
        <v>432</v>
      </c>
      <c r="G10" s="126" t="s">
        <v>263</v>
      </c>
      <c r="H10" s="130">
        <f>20/248</f>
        <v>8.0645161290322578E-2</v>
      </c>
      <c r="I10" s="130">
        <f>30/276</f>
        <v>0.10869565217391304</v>
      </c>
      <c r="J10" s="130">
        <f>36/335</f>
        <v>0.10746268656716418</v>
      </c>
      <c r="K10" s="130">
        <f>41/362</f>
        <v>0.1132596685082873</v>
      </c>
      <c r="L10" s="130">
        <v>0.1133</v>
      </c>
      <c r="M10" s="128">
        <v>0.11</v>
      </c>
      <c r="N10" s="128"/>
      <c r="O10" s="128"/>
      <c r="P10" s="128"/>
      <c r="Q10" s="128">
        <v>0.11</v>
      </c>
      <c r="R10" s="131"/>
      <c r="S10" s="131"/>
    </row>
    <row r="11" spans="1:19" s="129" customFormat="1" ht="59.25" customHeight="1" x14ac:dyDescent="0.25">
      <c r="A11" s="205"/>
      <c r="B11" s="157"/>
      <c r="C11" s="158"/>
      <c r="D11" s="186"/>
      <c r="E11" s="125" t="s">
        <v>9</v>
      </c>
      <c r="F11" s="126" t="s">
        <v>133</v>
      </c>
      <c r="G11" s="126" t="s">
        <v>264</v>
      </c>
      <c r="H11" s="127">
        <v>1</v>
      </c>
      <c r="I11" s="127">
        <v>1</v>
      </c>
      <c r="J11" s="127">
        <v>1</v>
      </c>
      <c r="K11" s="127">
        <v>1</v>
      </c>
      <c r="L11" s="127">
        <v>1</v>
      </c>
      <c r="M11" s="127">
        <v>1</v>
      </c>
      <c r="N11" s="131"/>
      <c r="O11" s="131"/>
      <c r="P11" s="131"/>
      <c r="Q11" s="128">
        <v>1</v>
      </c>
      <c r="R11" s="127">
        <v>1</v>
      </c>
      <c r="S11" s="127">
        <v>1</v>
      </c>
    </row>
    <row r="12" spans="1:19" s="129" customFormat="1" ht="66.75" customHeight="1" x14ac:dyDescent="0.25">
      <c r="A12" s="205"/>
      <c r="B12" s="157"/>
      <c r="C12" s="158"/>
      <c r="D12" s="186"/>
      <c r="E12" s="125" t="s">
        <v>10</v>
      </c>
      <c r="F12" s="126" t="s">
        <v>134</v>
      </c>
      <c r="G12" s="132" t="s">
        <v>265</v>
      </c>
      <c r="H12" s="127">
        <v>1</v>
      </c>
      <c r="I12" s="127">
        <v>1</v>
      </c>
      <c r="J12" s="127">
        <v>1</v>
      </c>
      <c r="K12" s="127">
        <v>1</v>
      </c>
      <c r="L12" s="127">
        <v>1</v>
      </c>
      <c r="M12" s="127">
        <v>1</v>
      </c>
      <c r="N12" s="131"/>
      <c r="O12" s="131"/>
      <c r="P12" s="131"/>
      <c r="Q12" s="128">
        <v>1</v>
      </c>
      <c r="R12" s="128">
        <v>1</v>
      </c>
      <c r="S12" s="128">
        <v>1</v>
      </c>
    </row>
    <row r="13" spans="1:19" s="129" customFormat="1" ht="66" customHeight="1" x14ac:dyDescent="0.25">
      <c r="A13" s="205"/>
      <c r="B13" s="157"/>
      <c r="C13" s="158"/>
      <c r="D13" s="186"/>
      <c r="E13" s="125" t="s">
        <v>11</v>
      </c>
      <c r="F13" s="126" t="s">
        <v>135</v>
      </c>
      <c r="G13" s="126" t="s">
        <v>266</v>
      </c>
      <c r="H13" s="127">
        <v>1</v>
      </c>
      <c r="I13" s="127">
        <v>1</v>
      </c>
      <c r="J13" s="127">
        <v>1</v>
      </c>
      <c r="K13" s="127">
        <v>1</v>
      </c>
      <c r="L13" s="127">
        <v>1</v>
      </c>
      <c r="M13" s="127">
        <v>1</v>
      </c>
      <c r="N13" s="131"/>
      <c r="O13" s="131"/>
      <c r="P13" s="131"/>
      <c r="Q13" s="128">
        <v>1</v>
      </c>
      <c r="R13" s="128">
        <v>1</v>
      </c>
      <c r="S13" s="128">
        <v>1</v>
      </c>
    </row>
    <row r="14" spans="1:19" s="129" customFormat="1" ht="87.75" customHeight="1" x14ac:dyDescent="0.25">
      <c r="A14" s="205"/>
      <c r="B14" s="157"/>
      <c r="C14" s="158"/>
      <c r="D14" s="186"/>
      <c r="E14" s="125" t="s">
        <v>12</v>
      </c>
      <c r="F14" s="126" t="s">
        <v>267</v>
      </c>
      <c r="G14" s="126" t="s">
        <v>268</v>
      </c>
      <c r="H14" s="128">
        <f>66/66</f>
        <v>1</v>
      </c>
      <c r="I14" s="128">
        <f>69/69</f>
        <v>1</v>
      </c>
      <c r="J14" s="128">
        <f>100/100</f>
        <v>1</v>
      </c>
      <c r="K14" s="128">
        <f>112/112</f>
        <v>1</v>
      </c>
      <c r="L14" s="128">
        <v>1</v>
      </c>
      <c r="M14" s="128">
        <v>1</v>
      </c>
      <c r="N14" s="131"/>
      <c r="O14" s="131"/>
      <c r="P14" s="131"/>
      <c r="Q14" s="128">
        <v>1</v>
      </c>
      <c r="R14" s="128">
        <v>1</v>
      </c>
      <c r="S14" s="128">
        <v>1</v>
      </c>
    </row>
    <row r="15" spans="1:19" s="129" customFormat="1" ht="98.25" customHeight="1" x14ac:dyDescent="0.25">
      <c r="A15" s="205"/>
      <c r="B15" s="157"/>
      <c r="C15" s="158"/>
      <c r="D15" s="186"/>
      <c r="E15" s="125" t="s">
        <v>13</v>
      </c>
      <c r="F15" s="126" t="s">
        <v>136</v>
      </c>
      <c r="G15" s="126" t="s">
        <v>433</v>
      </c>
      <c r="H15" s="128">
        <f>66/66</f>
        <v>1</v>
      </c>
      <c r="I15" s="128">
        <f>69/69</f>
        <v>1</v>
      </c>
      <c r="J15" s="128">
        <f>100/100</f>
        <v>1</v>
      </c>
      <c r="K15" s="128">
        <f>112/112</f>
        <v>1</v>
      </c>
      <c r="L15" s="128">
        <v>1</v>
      </c>
      <c r="M15" s="128">
        <v>1</v>
      </c>
      <c r="N15" s="131"/>
      <c r="O15" s="131"/>
      <c r="P15" s="131"/>
      <c r="Q15" s="128">
        <v>1</v>
      </c>
      <c r="R15" s="128">
        <v>1</v>
      </c>
      <c r="S15" s="128">
        <v>1</v>
      </c>
    </row>
    <row r="16" spans="1:19" s="129" customFormat="1" ht="87" customHeight="1" x14ac:dyDescent="0.25">
      <c r="A16" s="205"/>
      <c r="B16" s="157"/>
      <c r="C16" s="158"/>
      <c r="D16" s="186"/>
      <c r="E16" s="125" t="s">
        <v>14</v>
      </c>
      <c r="F16" s="126" t="s">
        <v>137</v>
      </c>
      <c r="G16" s="126" t="s">
        <v>269</v>
      </c>
      <c r="H16" s="131"/>
      <c r="I16" s="131"/>
      <c r="J16" s="131"/>
      <c r="K16" s="131"/>
      <c r="L16" s="131"/>
      <c r="M16" s="131">
        <v>25</v>
      </c>
      <c r="N16" s="131"/>
      <c r="O16" s="131"/>
      <c r="P16" s="131"/>
      <c r="Q16" s="131">
        <v>27</v>
      </c>
      <c r="R16" s="131"/>
      <c r="S16" s="131"/>
    </row>
    <row r="17" spans="1:19" s="129" customFormat="1" ht="50.25" customHeight="1" x14ac:dyDescent="0.25">
      <c r="A17" s="205"/>
      <c r="B17" s="157"/>
      <c r="C17" s="158"/>
      <c r="D17" s="186"/>
      <c r="E17" s="125" t="s">
        <v>15</v>
      </c>
      <c r="F17" s="126" t="s">
        <v>138</v>
      </c>
      <c r="G17" s="126" t="s">
        <v>270</v>
      </c>
      <c r="H17" s="131"/>
      <c r="I17" s="131"/>
      <c r="J17" s="131"/>
      <c r="K17" s="131"/>
      <c r="L17" s="131"/>
      <c r="M17" s="131">
        <v>0</v>
      </c>
      <c r="N17" s="131"/>
      <c r="O17" s="131"/>
      <c r="P17" s="131"/>
      <c r="Q17" s="131">
        <v>15</v>
      </c>
      <c r="R17" s="131"/>
      <c r="S17" s="131"/>
    </row>
    <row r="18" spans="1:19" s="129" customFormat="1" ht="74.25" customHeight="1" x14ac:dyDescent="0.25">
      <c r="A18" s="205"/>
      <c r="B18" s="157"/>
      <c r="C18" s="158"/>
      <c r="D18" s="186"/>
      <c r="E18" s="125" t="s">
        <v>16</v>
      </c>
      <c r="F18" s="126" t="s">
        <v>139</v>
      </c>
      <c r="G18" s="126" t="s">
        <v>216</v>
      </c>
      <c r="H18" s="126" t="s">
        <v>284</v>
      </c>
      <c r="I18" s="126" t="s">
        <v>284</v>
      </c>
      <c r="J18" s="126" t="s">
        <v>285</v>
      </c>
      <c r="K18" s="126" t="s">
        <v>284</v>
      </c>
      <c r="L18" s="126" t="s">
        <v>284</v>
      </c>
      <c r="M18" s="126" t="s">
        <v>284</v>
      </c>
      <c r="N18" s="126" t="s">
        <v>284</v>
      </c>
      <c r="O18" s="126" t="s">
        <v>409</v>
      </c>
      <c r="P18" s="126" t="s">
        <v>284</v>
      </c>
      <c r="Q18" s="126" t="s">
        <v>301</v>
      </c>
      <c r="R18" s="126" t="s">
        <v>301</v>
      </c>
      <c r="S18" s="126" t="s">
        <v>301</v>
      </c>
    </row>
    <row r="19" spans="1:19" s="129" customFormat="1" ht="62.25" customHeight="1" x14ac:dyDescent="0.25">
      <c r="A19" s="205"/>
      <c r="B19" s="157"/>
      <c r="C19" s="158"/>
      <c r="D19" s="186"/>
      <c r="E19" s="125" t="s">
        <v>17</v>
      </c>
      <c r="F19" s="126" t="s">
        <v>187</v>
      </c>
      <c r="G19" s="126" t="s">
        <v>271</v>
      </c>
      <c r="H19" s="128">
        <f>6/66</f>
        <v>9.0909090909090912E-2</v>
      </c>
      <c r="I19" s="128">
        <f>10/69</f>
        <v>0.14492753623188406</v>
      </c>
      <c r="J19" s="128">
        <f>12/100</f>
        <v>0.12</v>
      </c>
      <c r="K19" s="128">
        <f>15/112</f>
        <v>0.13392857142857142</v>
      </c>
      <c r="L19" s="128">
        <v>0.14000000000000001</v>
      </c>
      <c r="M19" s="128">
        <v>0.15</v>
      </c>
      <c r="N19" s="128"/>
      <c r="O19" s="128"/>
      <c r="P19" s="128"/>
      <c r="Q19" s="128">
        <v>0.15</v>
      </c>
      <c r="R19" s="128"/>
      <c r="S19" s="131"/>
    </row>
    <row r="20" spans="1:19" s="129" customFormat="1" ht="65.25" customHeight="1" x14ac:dyDescent="0.25">
      <c r="A20" s="205"/>
      <c r="B20" s="157"/>
      <c r="C20" s="158"/>
      <c r="D20" s="186"/>
      <c r="E20" s="125" t="s">
        <v>18</v>
      </c>
      <c r="F20" s="126" t="s">
        <v>186</v>
      </c>
      <c r="G20" s="126" t="s">
        <v>272</v>
      </c>
      <c r="H20" s="128">
        <f>54/66</f>
        <v>0.81818181818181823</v>
      </c>
      <c r="I20" s="128">
        <f>57/69</f>
        <v>0.82608695652173914</v>
      </c>
      <c r="J20" s="128">
        <f>88/100</f>
        <v>0.88</v>
      </c>
      <c r="K20" s="128">
        <f>100/112</f>
        <v>0.8928571428571429</v>
      </c>
      <c r="L20" s="128">
        <v>0.09</v>
      </c>
      <c r="M20" s="128">
        <v>0.09</v>
      </c>
      <c r="N20" s="128"/>
      <c r="O20" s="128"/>
      <c r="P20" s="128"/>
      <c r="Q20" s="128">
        <v>0.09</v>
      </c>
      <c r="R20" s="128"/>
      <c r="S20" s="131"/>
    </row>
    <row r="21" spans="1:19" s="99" customFormat="1" ht="66.75" customHeight="1" x14ac:dyDescent="0.25">
      <c r="A21" s="205"/>
      <c r="B21" s="157"/>
      <c r="C21" s="64"/>
      <c r="D21" s="186"/>
      <c r="E21" s="8" t="s">
        <v>20</v>
      </c>
      <c r="F21" s="27" t="s">
        <v>189</v>
      </c>
      <c r="G21" s="27" t="s">
        <v>436</v>
      </c>
      <c r="H21" s="64"/>
      <c r="I21" s="64"/>
      <c r="J21" s="64"/>
      <c r="K21" s="64"/>
      <c r="L21" s="64"/>
      <c r="M21" s="64">
        <v>9.4</v>
      </c>
      <c r="N21" s="64"/>
      <c r="O21" s="64"/>
      <c r="P21" s="64"/>
      <c r="Q21" s="64">
        <v>0</v>
      </c>
      <c r="R21" s="64">
        <v>0</v>
      </c>
      <c r="S21" s="64">
        <v>0</v>
      </c>
    </row>
    <row r="22" spans="1:19" s="99" customFormat="1" ht="33" customHeight="1" x14ac:dyDescent="0.25">
      <c r="A22" s="205"/>
      <c r="B22" s="157"/>
      <c r="C22" s="64"/>
      <c r="D22" s="186"/>
      <c r="E22" s="8" t="s">
        <v>21</v>
      </c>
      <c r="F22" s="27" t="s">
        <v>184</v>
      </c>
      <c r="G22" s="27" t="s">
        <v>0</v>
      </c>
      <c r="H22" s="64"/>
      <c r="I22" s="64"/>
      <c r="J22" s="64"/>
      <c r="K22" s="64"/>
      <c r="L22" s="64"/>
      <c r="M22" s="64"/>
      <c r="N22" s="64"/>
      <c r="O22" s="64"/>
      <c r="P22" s="64"/>
      <c r="Q22" s="64"/>
      <c r="R22" s="64"/>
      <c r="S22" s="64"/>
    </row>
    <row r="23" spans="1:19" s="99" customFormat="1" ht="29.25" customHeight="1" x14ac:dyDescent="0.25">
      <c r="A23" s="205"/>
      <c r="B23" s="157"/>
      <c r="C23" s="64"/>
      <c r="D23" s="186"/>
      <c r="E23" s="8" t="s">
        <v>22</v>
      </c>
      <c r="F23" s="27" t="s">
        <v>185</v>
      </c>
      <c r="G23" s="27" t="s">
        <v>1</v>
      </c>
      <c r="H23" s="64">
        <v>6.4</v>
      </c>
      <c r="I23" s="64">
        <v>5.5</v>
      </c>
      <c r="J23" s="64">
        <v>7.4</v>
      </c>
      <c r="K23" s="64">
        <v>8.9</v>
      </c>
      <c r="L23" s="64">
        <v>6.67</v>
      </c>
      <c r="M23" s="64">
        <v>6.59</v>
      </c>
      <c r="N23" s="64">
        <v>5.56</v>
      </c>
      <c r="O23" s="64">
        <v>7.87</v>
      </c>
      <c r="P23" s="64">
        <v>1.33</v>
      </c>
      <c r="Q23" s="65">
        <v>5.2631578947368416</v>
      </c>
      <c r="R23" s="64">
        <v>5.55</v>
      </c>
      <c r="S23" s="64">
        <v>4.83</v>
      </c>
    </row>
    <row r="24" spans="1:19" s="99" customFormat="1" ht="33.75" customHeight="1" x14ac:dyDescent="0.25">
      <c r="A24" s="205"/>
      <c r="B24" s="157"/>
      <c r="C24" s="64"/>
      <c r="D24" s="186"/>
      <c r="E24" s="8" t="s">
        <v>23</v>
      </c>
      <c r="F24" s="27" t="s">
        <v>434</v>
      </c>
      <c r="G24" s="27" t="s">
        <v>251</v>
      </c>
      <c r="H24" s="64"/>
      <c r="I24" s="64"/>
      <c r="J24" s="64"/>
      <c r="K24" s="64"/>
      <c r="L24" s="64"/>
      <c r="M24" s="64">
        <v>0</v>
      </c>
      <c r="N24" s="64"/>
      <c r="O24" s="64"/>
      <c r="P24" s="64"/>
      <c r="Q24" s="64"/>
      <c r="R24" s="64"/>
      <c r="S24" s="64">
        <v>0</v>
      </c>
    </row>
    <row r="25" spans="1:19" s="99" customFormat="1" ht="36.75" customHeight="1" x14ac:dyDescent="0.25">
      <c r="A25" s="205"/>
      <c r="B25" s="157"/>
      <c r="C25" s="64"/>
      <c r="D25" s="186"/>
      <c r="E25" s="8" t="s">
        <v>24</v>
      </c>
      <c r="F25" s="27" t="s">
        <v>188</v>
      </c>
      <c r="G25" s="27" t="s">
        <v>216</v>
      </c>
      <c r="H25" s="64"/>
      <c r="I25" s="64"/>
      <c r="J25" s="64"/>
      <c r="K25" s="64"/>
      <c r="L25" s="64"/>
      <c r="M25" s="64">
        <v>7</v>
      </c>
      <c r="N25" s="64"/>
      <c r="O25" s="64"/>
      <c r="P25" s="64"/>
      <c r="Q25" s="64"/>
      <c r="R25" s="64"/>
      <c r="S25" s="64"/>
    </row>
    <row r="26" spans="1:19" s="99" customFormat="1" ht="26.25" customHeight="1" x14ac:dyDescent="0.25">
      <c r="A26" s="205"/>
      <c r="B26" s="157"/>
      <c r="C26" s="64"/>
      <c r="D26" s="186"/>
      <c r="E26" s="8" t="s">
        <v>25</v>
      </c>
      <c r="F26" s="27" t="s">
        <v>435</v>
      </c>
      <c r="G26" s="21" t="s">
        <v>216</v>
      </c>
      <c r="H26" s="64">
        <v>0</v>
      </c>
      <c r="I26" s="64">
        <v>0</v>
      </c>
      <c r="J26" s="64">
        <v>0</v>
      </c>
      <c r="K26" s="64">
        <v>0</v>
      </c>
      <c r="L26" s="64"/>
      <c r="M26" s="64">
        <v>0</v>
      </c>
      <c r="N26" s="64"/>
      <c r="O26" s="64"/>
      <c r="P26" s="64"/>
      <c r="Q26" s="64">
        <v>0</v>
      </c>
      <c r="R26" s="64">
        <v>0</v>
      </c>
      <c r="S26" s="64">
        <v>0</v>
      </c>
    </row>
    <row r="27" spans="1:19" s="99" customFormat="1" ht="18.75" customHeight="1" x14ac:dyDescent="0.25">
      <c r="A27" s="205"/>
      <c r="B27" s="157"/>
      <c r="C27" s="64"/>
      <c r="D27" s="186"/>
      <c r="E27" s="8" t="s">
        <v>26</v>
      </c>
      <c r="F27" s="27" t="s">
        <v>190</v>
      </c>
      <c r="G27" s="21" t="s">
        <v>2</v>
      </c>
      <c r="H27" s="64"/>
      <c r="I27" s="64"/>
      <c r="J27" s="64"/>
      <c r="K27" s="64"/>
      <c r="L27" s="64"/>
      <c r="M27" s="64"/>
      <c r="N27" s="64"/>
      <c r="O27" s="64"/>
      <c r="P27" s="64"/>
      <c r="Q27" s="64"/>
      <c r="R27" s="64"/>
      <c r="S27" s="64"/>
    </row>
    <row r="28" spans="1:19" s="99" customFormat="1" ht="21.75" customHeight="1" x14ac:dyDescent="0.25">
      <c r="A28" s="205"/>
      <c r="B28" s="157"/>
      <c r="C28" s="64"/>
      <c r="D28" s="171"/>
      <c r="E28" s="8" t="s">
        <v>27</v>
      </c>
      <c r="F28" s="95" t="s">
        <v>192</v>
      </c>
      <c r="G28" s="21" t="s">
        <v>216</v>
      </c>
      <c r="H28" s="64"/>
      <c r="I28" s="64"/>
      <c r="J28" s="64"/>
      <c r="K28" s="64"/>
      <c r="L28" s="64"/>
      <c r="M28" s="64">
        <v>60</v>
      </c>
      <c r="N28" s="64"/>
      <c r="O28" s="64"/>
      <c r="P28" s="64"/>
      <c r="Q28" s="64">
        <v>82</v>
      </c>
      <c r="R28" s="64">
        <v>85</v>
      </c>
      <c r="S28" s="64">
        <v>80</v>
      </c>
    </row>
    <row r="29" spans="1:19" s="99" customFormat="1" ht="91.5" customHeight="1" x14ac:dyDescent="0.25">
      <c r="A29" s="205"/>
      <c r="B29" s="157"/>
      <c r="C29" s="8" t="s">
        <v>10</v>
      </c>
      <c r="D29" s="27" t="s">
        <v>193</v>
      </c>
      <c r="E29" s="8" t="s">
        <v>28</v>
      </c>
      <c r="F29" s="27" t="s">
        <v>194</v>
      </c>
      <c r="G29" s="21" t="s">
        <v>216</v>
      </c>
      <c r="H29" s="64"/>
      <c r="I29" s="64">
        <v>3</v>
      </c>
      <c r="J29" s="64">
        <v>3</v>
      </c>
      <c r="K29" s="64">
        <v>3</v>
      </c>
      <c r="L29" s="64">
        <v>1</v>
      </c>
      <c r="M29" s="64">
        <v>1</v>
      </c>
      <c r="N29" s="64">
        <v>1</v>
      </c>
      <c r="O29" s="64">
        <v>1</v>
      </c>
      <c r="P29" s="64">
        <v>1</v>
      </c>
      <c r="Q29" s="64">
        <v>1</v>
      </c>
      <c r="R29" s="64">
        <v>1</v>
      </c>
      <c r="S29" s="64">
        <v>1</v>
      </c>
    </row>
  </sheetData>
  <mergeCells count="9">
    <mergeCell ref="A2:M2"/>
    <mergeCell ref="B5:B29"/>
    <mergeCell ref="A5:A29"/>
    <mergeCell ref="C9:C20"/>
    <mergeCell ref="D5:D6"/>
    <mergeCell ref="C5:C6"/>
    <mergeCell ref="C7:C8"/>
    <mergeCell ref="D7:D8"/>
    <mergeCell ref="D9:D28"/>
  </mergeCells>
  <phoneticPr fontId="5" type="noConversion"/>
  <printOptions horizontalCentered="1" verticalCentered="1"/>
  <pageMargins left="0.31496062992125984" right="0.31496062992125984" top="0.74803149606299213" bottom="0.74803149606299213" header="0.31496062992125984" footer="0.31496062992125984"/>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15</vt:i4>
      </vt:variant>
    </vt:vector>
  </HeadingPairs>
  <TitlesOfParts>
    <vt:vector size="32" baseType="lpstr">
      <vt:lpstr>TIC</vt:lpstr>
      <vt:lpstr>Institucional</vt:lpstr>
      <vt:lpstr>Justicia</vt:lpstr>
      <vt:lpstr>Agro</vt:lpstr>
      <vt:lpstr>Otros Servicios</vt:lpstr>
      <vt:lpstr>Educación</vt:lpstr>
      <vt:lpstr>Vivienda</vt:lpstr>
      <vt:lpstr>Agua</vt:lpstr>
      <vt:lpstr>Ambiente</vt:lpstr>
      <vt:lpstr>Salud</vt:lpstr>
      <vt:lpstr>Equipamiento</vt:lpstr>
      <vt:lpstr>Deporte</vt:lpstr>
      <vt:lpstr>Comunitario</vt:lpstr>
      <vt:lpstr>Transporte</vt:lpstr>
      <vt:lpstr>Hoja1</vt:lpstr>
      <vt:lpstr>Cultura</vt:lpstr>
      <vt:lpstr>G Vulnerables</vt:lpstr>
      <vt:lpstr>Agro!Área_de_impresión</vt:lpstr>
      <vt:lpstr>Agua!Área_de_impresión</vt:lpstr>
      <vt:lpstr>Ambiente!Área_de_impresión</vt:lpstr>
      <vt:lpstr>Comunitario!Área_de_impresión</vt:lpstr>
      <vt:lpstr>Cultura!Área_de_impresión</vt:lpstr>
      <vt:lpstr>Deporte!Área_de_impresión</vt:lpstr>
      <vt:lpstr>Equipamiento!Área_de_impresión</vt:lpstr>
      <vt:lpstr>'G Vulnerables'!Área_de_impresión</vt:lpstr>
      <vt:lpstr>Institucional!Área_de_impresión</vt:lpstr>
      <vt:lpstr>Justicia!Área_de_impresión</vt:lpstr>
      <vt:lpstr>'Otros Servicios'!Área_de_impresión</vt:lpstr>
      <vt:lpstr>Salud!Área_de_impresión</vt:lpstr>
      <vt:lpstr>TIC!Área_de_impresión</vt:lpstr>
      <vt:lpstr>Transporte!Área_de_impresión</vt:lpstr>
      <vt:lpstr>Vivienda!Área_de_impresión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Facero</dc:creator>
  <cp:lastModifiedBy>Juan David Raigoso Espinosa</cp:lastModifiedBy>
  <cp:lastPrinted>2022-12-26T20:40:11Z</cp:lastPrinted>
  <dcterms:created xsi:type="dcterms:W3CDTF">2011-11-13T00:12:24Z</dcterms:created>
  <dcterms:modified xsi:type="dcterms:W3CDTF">2023-12-20T20:12:23Z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4abb79a0-e5ed-4841-bfa2-1a4eff005401</vt:lpwstr>
  </property>
</Properties>
</file>